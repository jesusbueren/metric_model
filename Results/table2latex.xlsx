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ueren\Google Drive\endo_health\metric_model\Results\"/>
    </mc:Choice>
  </mc:AlternateContent>
  <xr:revisionPtr revIDLastSave="0" documentId="13_ncr:1_{E012D12F-1E3E-46B3-B5A3-BE69EF1997F4}" xr6:coauthVersionLast="47" xr6:coauthVersionMax="47" xr10:uidLastSave="{00000000-0000-0000-0000-000000000000}"/>
  <bookViews>
    <workbookView xWindow="-120" yWindow="-120" windowWidth="29040" windowHeight="15840" xr2:uid="{4D131852-BDAB-48D2-B0B4-24C9607E5D2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54" i="1" l="1"/>
  <c r="S54" i="1"/>
  <c r="Q54" i="1"/>
  <c r="U48" i="1"/>
  <c r="S48" i="1"/>
  <c r="Q48" i="1"/>
  <c r="U42" i="1"/>
  <c r="S42" i="1"/>
  <c r="Q42" i="1"/>
  <c r="U36" i="1"/>
  <c r="S36" i="1"/>
  <c r="Q36" i="1"/>
  <c r="U30" i="1"/>
  <c r="S30" i="1"/>
  <c r="Q30" i="1"/>
  <c r="U24" i="1"/>
  <c r="S24" i="1"/>
  <c r="Q29" i="1"/>
  <c r="S29" i="1"/>
  <c r="U29" i="1"/>
  <c r="Q24" i="1"/>
  <c r="AF47" i="1"/>
  <c r="AH22" i="1"/>
  <c r="Z22" i="1"/>
  <c r="Q47" i="1"/>
  <c r="Q20" i="1"/>
  <c r="AB22" i="1" s="1"/>
  <c r="Q44" i="1"/>
  <c r="AF34" i="1" s="1"/>
  <c r="Q45" i="1"/>
  <c r="AF35" i="1" s="1"/>
  <c r="S20" i="1"/>
  <c r="U20" i="1"/>
  <c r="Q21" i="1"/>
  <c r="AB23" i="1" s="1"/>
  <c r="O20" i="1"/>
  <c r="O21" i="1"/>
  <c r="N22" i="2"/>
  <c r="N21" i="2"/>
  <c r="N23" i="2" s="1"/>
  <c r="O23" i="2" s="1"/>
  <c r="N20" i="2"/>
  <c r="N19" i="2"/>
  <c r="N14" i="2"/>
  <c r="N15" i="2" s="1"/>
  <c r="O15" i="2" s="1"/>
  <c r="N13" i="2"/>
  <c r="N12" i="2"/>
  <c r="N11" i="2"/>
  <c r="O7" i="2"/>
  <c r="N7" i="2"/>
  <c r="N4" i="2"/>
  <c r="N5" i="2"/>
  <c r="N6" i="2"/>
  <c r="N3" i="2"/>
  <c r="K31" i="2"/>
  <c r="L31" i="2" s="1"/>
  <c r="K30" i="2"/>
  <c r="K29" i="2"/>
  <c r="K28" i="2"/>
  <c r="K27" i="2"/>
  <c r="L7" i="2"/>
  <c r="K7" i="2"/>
  <c r="K4" i="2"/>
  <c r="K5" i="2"/>
  <c r="K6" i="2"/>
  <c r="K3" i="2"/>
  <c r="J46" i="2"/>
  <c r="J47" i="2" s="1"/>
  <c r="J45" i="2"/>
  <c r="J44" i="2"/>
  <c r="J43" i="2"/>
  <c r="J38" i="2"/>
  <c r="J37" i="2"/>
  <c r="J36" i="2"/>
  <c r="J39" i="2" s="1"/>
  <c r="J35" i="2"/>
  <c r="J31" i="2"/>
  <c r="J30" i="2"/>
  <c r="J29" i="2"/>
  <c r="J28" i="2"/>
  <c r="J27" i="2"/>
  <c r="J23" i="2"/>
  <c r="J22" i="2"/>
  <c r="J21" i="2"/>
  <c r="J20" i="2"/>
  <c r="J19" i="2"/>
  <c r="J15" i="2"/>
  <c r="J14" i="2"/>
  <c r="J13" i="2"/>
  <c r="J12" i="2"/>
  <c r="J11" i="2"/>
  <c r="J7" i="2"/>
  <c r="J4" i="2"/>
  <c r="J5" i="2"/>
  <c r="J6" i="2"/>
  <c r="J3" i="2"/>
  <c r="O51" i="1"/>
  <c r="AH35" i="1" s="1"/>
  <c r="O50" i="1"/>
  <c r="AH34" i="1" s="1"/>
  <c r="O45" i="1"/>
  <c r="AD35" i="1" s="1"/>
  <c r="O44" i="1"/>
  <c r="AD34" i="1" s="1"/>
  <c r="AD36" i="1" s="1"/>
  <c r="O39" i="1"/>
  <c r="Z35" i="1" s="1"/>
  <c r="O38" i="1"/>
  <c r="O40" i="1" s="1"/>
  <c r="O33" i="1"/>
  <c r="O32" i="1"/>
  <c r="O27" i="1"/>
  <c r="AD23" i="1" s="1"/>
  <c r="O26" i="1"/>
  <c r="AD22" i="1" s="1"/>
  <c r="Q23" i="1" l="1"/>
  <c r="AH24" i="1"/>
  <c r="AF36" i="1"/>
  <c r="AB21" i="1"/>
  <c r="AB24" i="1"/>
  <c r="AD24" i="1"/>
  <c r="Z24" i="1"/>
  <c r="Z34" i="1"/>
  <c r="Z36" i="1" s="1"/>
  <c r="AH36" i="1"/>
  <c r="AF33" i="1"/>
  <c r="O28" i="1"/>
  <c r="O46" i="1"/>
  <c r="O52" i="1"/>
  <c r="Q46" i="1"/>
  <c r="O22" i="1"/>
  <c r="O34" i="1"/>
  <c r="Q22" i="1"/>
  <c r="Q51" i="1"/>
  <c r="AJ35" i="1" s="1"/>
  <c r="S51" i="1"/>
  <c r="U51" i="1"/>
  <c r="U50" i="1"/>
  <c r="U53" i="1" s="1"/>
  <c r="S50" i="1"/>
  <c r="S53" i="1" s="1"/>
  <c r="Q50" i="1"/>
  <c r="S45" i="1"/>
  <c r="U45" i="1"/>
  <c r="U44" i="1"/>
  <c r="U47" i="1" s="1"/>
  <c r="S44" i="1"/>
  <c r="S47" i="1" s="1"/>
  <c r="Q39" i="1"/>
  <c r="AB35" i="1" s="1"/>
  <c r="S39" i="1"/>
  <c r="U39" i="1"/>
  <c r="U38" i="1"/>
  <c r="S38" i="1"/>
  <c r="S41" i="1" s="1"/>
  <c r="Q38" i="1"/>
  <c r="Q33" i="1"/>
  <c r="AJ23" i="1" s="1"/>
  <c r="S33" i="1"/>
  <c r="U33" i="1"/>
  <c r="U32" i="1"/>
  <c r="U35" i="1" s="1"/>
  <c r="S32" i="1"/>
  <c r="Q32" i="1"/>
  <c r="Q27" i="1"/>
  <c r="AF23" i="1" s="1"/>
  <c r="S27" i="1"/>
  <c r="U27" i="1"/>
  <c r="U26" i="1"/>
  <c r="S26" i="1"/>
  <c r="Q26" i="1"/>
  <c r="S21" i="1"/>
  <c r="S22" i="1" s="1"/>
  <c r="U21" i="1"/>
  <c r="U22" i="1" s="1"/>
  <c r="AF22" i="1" l="1"/>
  <c r="AB34" i="1"/>
  <c r="Q41" i="1"/>
  <c r="U28" i="1"/>
  <c r="AJ22" i="1"/>
  <c r="Q35" i="1"/>
  <c r="U23" i="1"/>
  <c r="S35" i="1"/>
  <c r="AJ34" i="1"/>
  <c r="AJ36" i="1" s="1"/>
  <c r="AL36" i="1" s="1"/>
  <c r="Q53" i="1"/>
  <c r="U40" i="1"/>
  <c r="U41" i="1"/>
  <c r="S23" i="1"/>
  <c r="AB33" i="1"/>
  <c r="AF24" i="1"/>
  <c r="AJ24" i="1"/>
  <c r="AL24" i="1" s="1"/>
  <c r="AL22" i="1"/>
  <c r="AF21" i="1"/>
  <c r="AJ21" i="1"/>
  <c r="AL21" i="1" s="1"/>
  <c r="AL23" i="1"/>
  <c r="AB36" i="1"/>
  <c r="AL35" i="1"/>
  <c r="S28" i="1"/>
  <c r="S40" i="1"/>
  <c r="Q40" i="1"/>
  <c r="U34" i="1"/>
  <c r="Q52" i="1"/>
  <c r="S52" i="1"/>
  <c r="U52" i="1"/>
  <c r="S46" i="1"/>
  <c r="U46" i="1"/>
  <c r="Q28" i="1"/>
  <c r="S34" i="1"/>
  <c r="Q34" i="1"/>
  <c r="I37" i="1"/>
  <c r="G37" i="1"/>
  <c r="E37" i="1"/>
  <c r="C37" i="1"/>
  <c r="I36" i="1"/>
  <c r="G36" i="1"/>
  <c r="E36" i="1"/>
  <c r="C36" i="1"/>
  <c r="I33" i="1"/>
  <c r="G33" i="1"/>
  <c r="E33" i="1"/>
  <c r="C33" i="1"/>
  <c r="I32" i="1"/>
  <c r="G32" i="1"/>
  <c r="E32" i="1"/>
  <c r="C32" i="1"/>
  <c r="I29" i="1"/>
  <c r="G29" i="1"/>
  <c r="E29" i="1"/>
  <c r="C29" i="1"/>
  <c r="I28" i="1"/>
  <c r="G28" i="1"/>
  <c r="E28" i="1"/>
  <c r="C28" i="1"/>
  <c r="C17" i="1"/>
  <c r="E17" i="1"/>
  <c r="G17" i="1"/>
  <c r="I17" i="1"/>
  <c r="C20" i="1"/>
  <c r="E20" i="1"/>
  <c r="G20" i="1"/>
  <c r="I20" i="1"/>
  <c r="C21" i="1"/>
  <c r="E21" i="1"/>
  <c r="G21" i="1"/>
  <c r="I21" i="1"/>
  <c r="C24" i="1"/>
  <c r="E24" i="1"/>
  <c r="G24" i="1"/>
  <c r="I24" i="1"/>
  <c r="C25" i="1"/>
  <c r="E25" i="1"/>
  <c r="G25" i="1"/>
  <c r="I25" i="1"/>
  <c r="I16" i="1"/>
  <c r="G16" i="1"/>
  <c r="E16" i="1"/>
  <c r="C16" i="1"/>
  <c r="AJ33" i="1" l="1"/>
  <c r="AN33" i="1" s="1"/>
  <c r="AL34" i="1"/>
  <c r="AL33" i="1"/>
  <c r="AN21" i="1"/>
  <c r="AP21" i="1" s="1"/>
  <c r="X49" i="1"/>
  <c r="E30" i="1"/>
  <c r="E26" i="1"/>
  <c r="G26" i="1"/>
  <c r="I22" i="1"/>
  <c r="I18" i="1"/>
  <c r="I38" i="1"/>
  <c r="I34" i="1"/>
  <c r="E18" i="1"/>
  <c r="E34" i="1"/>
  <c r="G18" i="1"/>
  <c r="G34" i="1"/>
  <c r="I26" i="1"/>
  <c r="G30" i="1"/>
  <c r="E22" i="1"/>
  <c r="E38" i="1"/>
  <c r="I30" i="1"/>
  <c r="G22" i="1"/>
  <c r="G38" i="1"/>
</calcChain>
</file>

<file path=xl/sharedStrings.xml><?xml version="1.0" encoding="utf-8"?>
<sst xmlns="http://schemas.openxmlformats.org/spreadsheetml/2006/main" count="470" uniqueCount="40">
  <si>
    <t>Protective</t>
  </si>
  <si>
    <t>Detrimental</t>
  </si>
  <si>
    <t>Average</t>
  </si>
  <si>
    <t>&amp;</t>
  </si>
  <si>
    <t>\\</t>
  </si>
  <si>
    <t>\multicolumn{7}{c}{Men: Dropouts} \\[5pt]</t>
  </si>
  <si>
    <t>\multicolumn{7}{c}{Men: College} \\[5pt]</t>
  </si>
  <si>
    <t>\multicolumn{7}{c}{Women: Dropouts} \\[5pt]</t>
  </si>
  <si>
    <t>\multicolumn{7}{c}{Women: College} \\[5pt]</t>
  </si>
  <si>
    <t>&amp;&amp;</t>
  </si>
  <si>
    <t>-</t>
  </si>
  <si>
    <t>\multicolumn{7}{c}{Women: High-school} \\[5pt]</t>
  </si>
  <si>
    <t>\multicolumn{7}{c}{Men: High-school} \\[5pt]</t>
  </si>
  <si>
    <t>ans</t>
  </si>
  <si>
    <t>=</t>
  </si>
  <si>
    <t>Edu gradient</t>
  </si>
  <si>
    <t>Gender gap</t>
  </si>
  <si>
    <t>H</t>
  </si>
  <si>
    <t>P</t>
  </si>
  <si>
    <t>D</t>
  </si>
  <si>
    <t>$\Delta$</t>
  </si>
  <si>
    <t xml:space="preserve">\multicolumn{2}{c}{Dropouts} </t>
  </si>
  <si>
    <t xml:space="preserve">\multicolumn{2}{c}{High-school} </t>
  </si>
  <si>
    <t xml:space="preserve">\multicolumn{2}{c}{College} </t>
  </si>
  <si>
    <t xml:space="preserve">Lifestyle </t>
  </si>
  <si>
    <t xml:space="preserve">Share </t>
  </si>
  <si>
    <t xml:space="preserve">LE </t>
  </si>
  <si>
    <t xml:space="preserve">All </t>
  </si>
  <si>
    <t xml:space="preserve">\multicolumn{2}{c}{College-Dropout} </t>
  </si>
  <si>
    <t>$\hat{\text{LE}}$</t>
  </si>
  <si>
    <t>\\ [5pt]</t>
  </si>
  <si>
    <t>\multicolumn{7}{l}{\textbf{Men: Dropouts}} \\[5pt]</t>
  </si>
  <si>
    <t>\multicolumn{7}{l}{\textbf{Men: High-school}} \\[5pt]</t>
  </si>
  <si>
    <t>\multicolumn{7}{l}{\textbf{Men: College}} \\[5pt]</t>
  </si>
  <si>
    <t>\multicolumn{7}{l}{\textbf{Women: Dropouts}} \\[5pt]</t>
  </si>
  <si>
    <t>\multicolumn{7}{l}{\textbf{Women: High-school}} \\[5pt]</t>
  </si>
  <si>
    <t>\multicolumn{7}{l}{\textbf{Women: College}} \\[5pt]</t>
  </si>
  <si>
    <t>(1:1,1:3,1:2)</t>
  </si>
  <si>
    <t>Counterfactual</t>
  </si>
  <si>
    <t xml:space="preserve">\\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</si>
</sst>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1"/>
    <xf numFmtId="2" fontId="0" fillId="0" borderId="0" xfId="0" applyNumberFormat="1"/>
    <xf numFmtId="9" fontId="0" fillId="2" borderId="0" xfId="2" applyFont="1" applyFill="1"/>
    <xf numFmtId="9" fontId="0" fillId="0" borderId="0" xfId="2" applyFont="1"/>
    <xf numFmtId="165" fontId="0" fillId="0" borderId="0" xfId="2" applyNumberFormat="1" applyFont="1"/>
    <xf numFmtId="11" fontId="0" fillId="0" borderId="0" xfId="0" applyNumberFormat="1"/>
    <xf numFmtId="166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 Good to Good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Sheet3!$B$3:$B$39</c:f>
              <c:numCache>
                <c:formatCode>General</c:formatCode>
                <c:ptCount val="37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36</c:v>
                </c:pt>
                <c:pt idx="6">
                  <c:v>38</c:v>
                </c:pt>
                <c:pt idx="7">
                  <c:v>40</c:v>
                </c:pt>
                <c:pt idx="8">
                  <c:v>42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54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62</c:v>
                </c:pt>
                <c:pt idx="19">
                  <c:v>64</c:v>
                </c:pt>
                <c:pt idx="20">
                  <c:v>66</c:v>
                </c:pt>
                <c:pt idx="21">
                  <c:v>68</c:v>
                </c:pt>
                <c:pt idx="22">
                  <c:v>70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98</c:v>
                </c:pt>
              </c:numCache>
            </c:numRef>
          </c:cat>
          <c:val>
            <c:numRef>
              <c:f>Sheet3!$C$3:$C$39</c:f>
              <c:numCache>
                <c:formatCode>General</c:formatCode>
                <c:ptCount val="37"/>
                <c:pt idx="0">
                  <c:v>0.88438594530047798</c:v>
                </c:pt>
                <c:pt idx="1">
                  <c:v>0.87965611374444497</c:v>
                </c:pt>
                <c:pt idx="2">
                  <c:v>0.87478997142508796</c:v>
                </c:pt>
                <c:pt idx="3">
                  <c:v>0.86978549538925098</c:v>
                </c:pt>
                <c:pt idx="4">
                  <c:v>0.86464023359589504</c:v>
                </c:pt>
                <c:pt idx="5">
                  <c:v>0.85935105076045004</c:v>
                </c:pt>
                <c:pt idx="6">
                  <c:v>0.85391377500168697</c:v>
                </c:pt>
                <c:pt idx="7">
                  <c:v>0.84832271887492205</c:v>
                </c:pt>
                <c:pt idx="8">
                  <c:v>0.84257004719413398</c:v>
                </c:pt>
                <c:pt idx="9">
                  <c:v>0.83664496580709702</c:v>
                </c:pt>
                <c:pt idx="10">
                  <c:v>0.83053271122955596</c:v>
                </c:pt>
                <c:pt idx="11">
                  <c:v>0.82421333151697795</c:v>
                </c:pt>
                <c:pt idx="12">
                  <c:v>0.81766026428345595</c:v>
                </c:pt>
                <c:pt idx="13">
                  <c:v>0.81083873832120001</c:v>
                </c:pt>
                <c:pt idx="14">
                  <c:v>0.80370405066399897</c:v>
                </c:pt>
                <c:pt idx="15">
                  <c:v>0.79619980121399503</c:v>
                </c:pt>
                <c:pt idx="16">
                  <c:v>0.78825620256628204</c:v>
                </c:pt>
                <c:pt idx="17">
                  <c:v>0.77978862361196499</c:v>
                </c:pt>
                <c:pt idx="18">
                  <c:v>0.77069657064373398</c:v>
                </c:pt>
                <c:pt idx="19">
                  <c:v>0.76086335453368603</c:v>
                </c:pt>
                <c:pt idx="20">
                  <c:v>0.75015672772029596</c:v>
                </c:pt>
                <c:pt idx="21">
                  <c:v>0.73843078576328802</c:v>
                </c:pt>
                <c:pt idx="22">
                  <c:v>0.72552939789802395</c:v>
                </c:pt>
                <c:pt idx="23">
                  <c:v>0.71129134459906296</c:v>
                </c:pt>
                <c:pt idx="24">
                  <c:v>0.69555719225796897</c:v>
                </c:pt>
                <c:pt idx="25">
                  <c:v>0.67817773567176698</c:v>
                </c:pt>
                <c:pt idx="26">
                  <c:v>0.65902361538079401</c:v>
                </c:pt>
                <c:pt idx="27">
                  <c:v>0.63799550905491298</c:v>
                </c:pt>
                <c:pt idx="28">
                  <c:v>0.61503414635549702</c:v>
                </c:pt>
                <c:pt idx="29">
                  <c:v>0.59012933598450601</c:v>
                </c:pt>
                <c:pt idx="30">
                  <c:v>0.56332723096093196</c:v>
                </c:pt>
                <c:pt idx="31">
                  <c:v>0.53473517780162305</c:v>
                </c:pt>
                <c:pt idx="32">
                  <c:v>0.50452366422462702</c:v>
                </c:pt>
                <c:pt idx="33">
                  <c:v>0.47292506295952802</c:v>
                </c:pt>
                <c:pt idx="34">
                  <c:v>0.44022904433473198</c:v>
                </c:pt>
                <c:pt idx="35">
                  <c:v>0.406774697306097</c:v>
                </c:pt>
                <c:pt idx="36">
                  <c:v>0.372939575050869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6-4572-AD53-5F83B3D6670E}"/>
            </c:ext>
          </c:extLst>
        </c:ser>
        <c:ser>
          <c:idx val="1"/>
          <c:order val="1"/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Sheet3!$B$3:$B$39</c:f>
              <c:numCache>
                <c:formatCode>General</c:formatCode>
                <c:ptCount val="37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36</c:v>
                </c:pt>
                <c:pt idx="6">
                  <c:v>38</c:v>
                </c:pt>
                <c:pt idx="7">
                  <c:v>40</c:v>
                </c:pt>
                <c:pt idx="8">
                  <c:v>42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54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62</c:v>
                </c:pt>
                <c:pt idx="19">
                  <c:v>64</c:v>
                </c:pt>
                <c:pt idx="20">
                  <c:v>66</c:v>
                </c:pt>
                <c:pt idx="21">
                  <c:v>68</c:v>
                </c:pt>
                <c:pt idx="22">
                  <c:v>70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98</c:v>
                </c:pt>
              </c:numCache>
            </c:numRef>
          </c:cat>
          <c:val>
            <c:numRef>
              <c:f>Sheet3!$D$3:$D$39</c:f>
              <c:numCache>
                <c:formatCode>General</c:formatCode>
                <c:ptCount val="37"/>
                <c:pt idx="0">
                  <c:v>0.82333782608086203</c:v>
                </c:pt>
                <c:pt idx="1">
                  <c:v>0.81798543446142602</c:v>
                </c:pt>
                <c:pt idx="2">
                  <c:v>0.81248881443228504</c:v>
                </c:pt>
                <c:pt idx="3">
                  <c:v>0.80683576036295701</c:v>
                </c:pt>
                <c:pt idx="4">
                  <c:v>0.80101162171125795</c:v>
                </c:pt>
                <c:pt idx="5">
                  <c:v>0.79499898115832102</c:v>
                </c:pt>
                <c:pt idx="6">
                  <c:v>0.78877733674888195</c:v>
                </c:pt>
                <c:pt idx="7">
                  <c:v>0.78232280120254505</c:v>
                </c:pt>
                <c:pt idx="8">
                  <c:v>0.77560783464924499</c:v>
                </c:pt>
                <c:pt idx="9">
                  <c:v>0.76860103042204997</c:v>
                </c:pt>
                <c:pt idx="10">
                  <c:v>0.76126697703461199</c:v>
                </c:pt>
                <c:pt idx="11">
                  <c:v>0.75356622273558005</c:v>
                </c:pt>
                <c:pt idx="12">
                  <c:v>0.74545537154283503</c:v>
                </c:pt>
                <c:pt idx="13">
                  <c:v>0.73688734073412199</c:v>
                </c:pt>
                <c:pt idx="14">
                  <c:v>0.72781180864651296</c:v>
                </c:pt>
                <c:pt idx="15">
                  <c:v>0.71817587760621504</c:v>
                </c:pt>
                <c:pt idx="16">
                  <c:v>0.70792496938140004</c:v>
                </c:pt>
                <c:pt idx="17">
                  <c:v>0.697003959621043</c:v>
                </c:pt>
                <c:pt idx="18">
                  <c:v>0.68535854372803895</c:v>
                </c:pt>
                <c:pt idx="19">
                  <c:v>0.67293681049777698</c:v>
                </c:pt>
                <c:pt idx="20">
                  <c:v>0.65969098311674101</c:v>
                </c:pt>
                <c:pt idx="21">
                  <c:v>0.64557927155151895</c:v>
                </c:pt>
                <c:pt idx="22">
                  <c:v>0.63056776777817103</c:v>
                </c:pt>
                <c:pt idx="23">
                  <c:v>0.614632307199103</c:v>
                </c:pt>
                <c:pt idx="24">
                  <c:v>0.59776021684278702</c:v>
                </c:pt>
                <c:pt idx="25">
                  <c:v>0.57995187360176903</c:v>
                </c:pt>
                <c:pt idx="26">
                  <c:v>0.56122200306917303</c:v>
                </c:pt>
                <c:pt idx="27">
                  <c:v>0.54160066006816499</c:v>
                </c:pt>
                <c:pt idx="28">
                  <c:v>0.52113384401875995</c:v>
                </c:pt>
                <c:pt idx="29">
                  <c:v>0.49988371427489298</c:v>
                </c:pt>
                <c:pt idx="30">
                  <c:v>0.47792838146352601</c:v>
                </c:pt>
                <c:pt idx="31">
                  <c:v>0.45536126045528302</c:v>
                </c:pt>
                <c:pt idx="32">
                  <c:v>0.43228997953793502</c:v>
                </c:pt>
                <c:pt idx="33">
                  <c:v>0.40883484993188901</c:v>
                </c:pt>
                <c:pt idx="34">
                  <c:v>0.38512691146448702</c:v>
                </c:pt>
                <c:pt idx="35">
                  <c:v>0.36130558514970301</c:v>
                </c:pt>
                <c:pt idx="36">
                  <c:v>0.33751598190104798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6-4572-AD53-5F83B3D6670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Sheet3!$B$3:$B$39</c:f>
              <c:numCache>
                <c:formatCode>General</c:formatCode>
                <c:ptCount val="37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36</c:v>
                </c:pt>
                <c:pt idx="6">
                  <c:v>38</c:v>
                </c:pt>
                <c:pt idx="7">
                  <c:v>40</c:v>
                </c:pt>
                <c:pt idx="8">
                  <c:v>42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54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62</c:v>
                </c:pt>
                <c:pt idx="19">
                  <c:v>64</c:v>
                </c:pt>
                <c:pt idx="20">
                  <c:v>66</c:v>
                </c:pt>
                <c:pt idx="21">
                  <c:v>68</c:v>
                </c:pt>
                <c:pt idx="22">
                  <c:v>70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98</c:v>
                </c:pt>
              </c:numCache>
            </c:numRef>
          </c:cat>
          <c:val>
            <c:numRef>
              <c:f>Sheet3!$F$3:$F$39</c:f>
              <c:numCache>
                <c:formatCode>General</c:formatCode>
                <c:ptCount val="37"/>
                <c:pt idx="0">
                  <c:v>0.99236491213732603</c:v>
                </c:pt>
                <c:pt idx="1">
                  <c:v>0.99129781289955099</c:v>
                </c:pt>
                <c:pt idx="2">
                  <c:v>0.99010152598909795</c:v>
                </c:pt>
                <c:pt idx="3">
                  <c:v>0.98876311292850105</c:v>
                </c:pt>
                <c:pt idx="4">
                  <c:v>0.98726854672489595</c:v>
                </c:pt>
                <c:pt idx="5">
                  <c:v>0.98560256209517305</c:v>
                </c:pt>
                <c:pt idx="6">
                  <c:v>0.983748449433546</c:v>
                </c:pt>
                <c:pt idx="7">
                  <c:v>0.98168777314862099</c:v>
                </c:pt>
                <c:pt idx="8">
                  <c:v>0.97939999111432796</c:v>
                </c:pt>
                <c:pt idx="9">
                  <c:v>0.97686194812128202</c:v>
                </c:pt>
                <c:pt idx="10">
                  <c:v>0.974047213029123</c:v>
                </c:pt>
                <c:pt idx="11">
                  <c:v>0.97092522815527704</c:v>
                </c:pt>
                <c:pt idx="12">
                  <c:v>0.96746024256437402</c:v>
                </c:pt>
                <c:pt idx="13">
                  <c:v>0.96361001142880198</c:v>
                </c:pt>
                <c:pt idx="14">
                  <c:v>0.95932426471427801</c:v>
                </c:pt>
                <c:pt idx="15">
                  <c:v>0.95454298209138799</c:v>
                </c:pt>
                <c:pt idx="16">
                  <c:v>0.94919455631652905</c:v>
                </c:pt>
                <c:pt idx="17">
                  <c:v>0.94319397944542305</c:v>
                </c:pt>
                <c:pt idx="18">
                  <c:v>0.93644123637669796</c:v>
                </c:pt>
                <c:pt idx="19">
                  <c:v>0.92882012800005098</c:v>
                </c:pt>
                <c:pt idx="20">
                  <c:v>0.92019776358146499</c:v>
                </c:pt>
                <c:pt idx="21">
                  <c:v>0.91042495718202499</c:v>
                </c:pt>
                <c:pt idx="22">
                  <c:v>0.89933774191474802</c:v>
                </c:pt>
                <c:pt idx="23">
                  <c:v>0.88676018952659497</c:v>
                </c:pt>
                <c:pt idx="24">
                  <c:v>0.87250869918458696</c:v>
                </c:pt>
                <c:pt idx="25">
                  <c:v>0.85639789462898597</c:v>
                </c:pt>
                <c:pt idx="26">
                  <c:v>0.83824822243761599</c:v>
                </c:pt>
                <c:pt idx="27">
                  <c:v>0.81789524325857199</c:v>
                </c:pt>
                <c:pt idx="28">
                  <c:v>0.79520042322644202</c:v>
                </c:pt>
                <c:pt idx="29">
                  <c:v>0.770062960227613</c:v>
                </c:pt>
                <c:pt idx="30">
                  <c:v>0.74243185704595405</c:v>
                </c:pt>
                <c:pt idx="31">
                  <c:v>0.71231716069010098</c:v>
                </c:pt>
                <c:pt idx="32">
                  <c:v>0.67979912431283196</c:v>
                </c:pt>
                <c:pt idx="33">
                  <c:v>0.64503409597330197</c:v>
                </c:pt>
                <c:pt idx="34">
                  <c:v>0.60825621985600398</c:v>
                </c:pt>
                <c:pt idx="35">
                  <c:v>0.56977449649731204</c:v>
                </c:pt>
                <c:pt idx="36">
                  <c:v>0.52996527322523401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76-4572-AD53-5F83B3D6670E}"/>
            </c:ext>
          </c:extLst>
        </c:ser>
        <c:ser>
          <c:idx val="3"/>
          <c:order val="3"/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Sheet3!$B$3:$B$39</c:f>
              <c:numCache>
                <c:formatCode>General</c:formatCode>
                <c:ptCount val="37"/>
                <c:pt idx="0">
                  <c:v>26</c:v>
                </c:pt>
                <c:pt idx="1">
                  <c:v>28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36</c:v>
                </c:pt>
                <c:pt idx="6">
                  <c:v>38</c:v>
                </c:pt>
                <c:pt idx="7">
                  <c:v>40</c:v>
                </c:pt>
                <c:pt idx="8">
                  <c:v>42</c:v>
                </c:pt>
                <c:pt idx="9">
                  <c:v>44</c:v>
                </c:pt>
                <c:pt idx="10">
                  <c:v>46</c:v>
                </c:pt>
                <c:pt idx="11">
                  <c:v>48</c:v>
                </c:pt>
                <c:pt idx="12">
                  <c:v>50</c:v>
                </c:pt>
                <c:pt idx="13">
                  <c:v>52</c:v>
                </c:pt>
                <c:pt idx="14">
                  <c:v>54</c:v>
                </c:pt>
                <c:pt idx="15">
                  <c:v>56</c:v>
                </c:pt>
                <c:pt idx="16">
                  <c:v>58</c:v>
                </c:pt>
                <c:pt idx="17">
                  <c:v>60</c:v>
                </c:pt>
                <c:pt idx="18">
                  <c:v>62</c:v>
                </c:pt>
                <c:pt idx="19">
                  <c:v>64</c:v>
                </c:pt>
                <c:pt idx="20">
                  <c:v>66</c:v>
                </c:pt>
                <c:pt idx="21">
                  <c:v>68</c:v>
                </c:pt>
                <c:pt idx="22">
                  <c:v>70</c:v>
                </c:pt>
                <c:pt idx="23">
                  <c:v>72</c:v>
                </c:pt>
                <c:pt idx="24">
                  <c:v>74</c:v>
                </c:pt>
                <c:pt idx="25">
                  <c:v>76</c:v>
                </c:pt>
                <c:pt idx="26">
                  <c:v>78</c:v>
                </c:pt>
                <c:pt idx="27">
                  <c:v>80</c:v>
                </c:pt>
                <c:pt idx="28">
                  <c:v>82</c:v>
                </c:pt>
                <c:pt idx="29">
                  <c:v>84</c:v>
                </c:pt>
                <c:pt idx="30">
                  <c:v>86</c:v>
                </c:pt>
                <c:pt idx="31">
                  <c:v>88</c:v>
                </c:pt>
                <c:pt idx="32">
                  <c:v>90</c:v>
                </c:pt>
                <c:pt idx="33">
                  <c:v>92</c:v>
                </c:pt>
                <c:pt idx="34">
                  <c:v>94</c:v>
                </c:pt>
                <c:pt idx="35">
                  <c:v>96</c:v>
                </c:pt>
                <c:pt idx="36">
                  <c:v>98</c:v>
                </c:pt>
              </c:numCache>
            </c:numRef>
          </c:cat>
          <c:val>
            <c:numRef>
              <c:f>Sheet3!$G$3:$G$39</c:f>
              <c:numCache>
                <c:formatCode>General</c:formatCode>
                <c:ptCount val="37"/>
                <c:pt idx="0">
                  <c:v>0.972673001913549</c:v>
                </c:pt>
                <c:pt idx="1">
                  <c:v>0.97009669723345104</c:v>
                </c:pt>
                <c:pt idx="2">
                  <c:v>0.96730629125162304</c:v>
                </c:pt>
                <c:pt idx="3">
                  <c:v>0.96428381840071797</c:v>
                </c:pt>
                <c:pt idx="4">
                  <c:v>0.96100900613564899</c:v>
                </c:pt>
                <c:pt idx="5">
                  <c:v>0.95745884964135897</c:v>
                </c:pt>
                <c:pt idx="6">
                  <c:v>0.953607137955229</c:v>
                </c:pt>
                <c:pt idx="7">
                  <c:v>0.94942394312089196</c:v>
                </c:pt>
                <c:pt idx="8">
                  <c:v>0.94487509130533798</c:v>
                </c:pt>
                <c:pt idx="9">
                  <c:v>0.93992164247031196</c:v>
                </c:pt>
                <c:pt idx="10">
                  <c:v>0.93451941225459501</c:v>
                </c:pt>
                <c:pt idx="11">
                  <c:v>0.92861857521669899</c:v>
                </c:pt>
                <c:pt idx="12">
                  <c:v>0.92216339175283002</c:v>
                </c:pt>
                <c:pt idx="13">
                  <c:v>0.91509210157381904</c:v>
                </c:pt>
                <c:pt idx="14">
                  <c:v>0.90733702496764301</c:v>
                </c:pt>
                <c:pt idx="15">
                  <c:v>0.89882491014113197</c:v>
                </c:pt>
                <c:pt idx="16">
                  <c:v>0.88947756193111205</c:v>
                </c:pt>
                <c:pt idx="17">
                  <c:v>0.87921278501177702</c:v>
                </c:pt>
                <c:pt idx="18">
                  <c:v>0.86794567338977802</c:v>
                </c:pt>
                <c:pt idx="19">
                  <c:v>0.85559027607237303</c:v>
                </c:pt>
                <c:pt idx="20">
                  <c:v>0.842061663484721</c:v>
                </c:pt>
                <c:pt idx="21">
                  <c:v>0.82727840678334497</c:v>
                </c:pt>
                <c:pt idx="22">
                  <c:v>0.81116545919954597</c:v>
                </c:pt>
                <c:pt idx="23">
                  <c:v>0.79365739321750695</c:v>
                </c:pt>
                <c:pt idx="24">
                  <c:v>0.77470190111847903</c:v>
                </c:pt>
                <c:pt idx="25">
                  <c:v>0.75426341439443001</c:v>
                </c:pt>
                <c:pt idx="26">
                  <c:v>0.73232664837996198</c:v>
                </c:pt>
                <c:pt idx="27">
                  <c:v>0.70889984261764905</c:v>
                </c:pt>
                <c:pt idx="28">
                  <c:v>0.68401745464956498</c:v>
                </c:pt>
                <c:pt idx="29">
                  <c:v>0.65774208120073696</c:v>
                </c:pt>
                <c:pt idx="30">
                  <c:v>0.63016542635748096</c:v>
                </c:pt>
                <c:pt idx="31">
                  <c:v>0.601408205064207</c:v>
                </c:pt>
                <c:pt idx="32">
                  <c:v>0.57161895041579802</c:v>
                </c:pt>
                <c:pt idx="33">
                  <c:v>0.54097177070269298</c:v>
                </c:pt>
                <c:pt idx="34">
                  <c:v>0.50966316425560998</c:v>
                </c:pt>
                <c:pt idx="35">
                  <c:v>0.47790803907710699</c:v>
                </c:pt>
                <c:pt idx="36">
                  <c:v>0.44593509932220998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6-4572-AD53-5F83B3D66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293224"/>
        <c:axId val="690296176"/>
      </c:lineChart>
      <c:catAx>
        <c:axId val="69029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96176"/>
        <c:crosses val="autoZero"/>
        <c:auto val="1"/>
        <c:lblAlgn val="ctr"/>
        <c:lblOffset val="100"/>
        <c:noMultiLvlLbl val="0"/>
      </c:catAx>
      <c:valAx>
        <c:axId val="6902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93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8</xdr:row>
      <xdr:rowOff>185737</xdr:rowOff>
    </xdr:from>
    <xdr:to>
      <xdr:col>15</xdr:col>
      <xdr:colOff>476250</xdr:colOff>
      <xdr:row>23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239437-F659-46C0-B33E-6E9C7958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\\vspsrv1" TargetMode="External"/><Relationship Id="rId18" Type="http://schemas.openxmlformats.org/officeDocument/2006/relationships/hyperlink" Target="file:///\\vspsrv1" TargetMode="External"/><Relationship Id="rId26" Type="http://schemas.openxmlformats.org/officeDocument/2006/relationships/hyperlink" Target="file:///\\vspsrv1" TargetMode="External"/><Relationship Id="rId39" Type="http://schemas.openxmlformats.org/officeDocument/2006/relationships/hyperlink" Target="\" TargetMode="External"/><Relationship Id="rId21" Type="http://schemas.openxmlformats.org/officeDocument/2006/relationships/hyperlink" Target="file:///\\vspsrv1" TargetMode="External"/><Relationship Id="rId34" Type="http://schemas.openxmlformats.org/officeDocument/2006/relationships/hyperlink" Target="file:///\\vspsrv1" TargetMode="External"/><Relationship Id="rId42" Type="http://schemas.openxmlformats.org/officeDocument/2006/relationships/hyperlink" Target="\" TargetMode="External"/><Relationship Id="rId47" Type="http://schemas.openxmlformats.org/officeDocument/2006/relationships/hyperlink" Target="\" TargetMode="External"/><Relationship Id="rId50" Type="http://schemas.openxmlformats.org/officeDocument/2006/relationships/hyperlink" Target="\" TargetMode="External"/><Relationship Id="rId55" Type="http://schemas.openxmlformats.org/officeDocument/2006/relationships/hyperlink" Target="\" TargetMode="External"/><Relationship Id="rId7" Type="http://schemas.openxmlformats.org/officeDocument/2006/relationships/hyperlink" Target="file:///\\vspsrv1" TargetMode="External"/><Relationship Id="rId12" Type="http://schemas.openxmlformats.org/officeDocument/2006/relationships/hyperlink" Target="file:///\\vspsrv1" TargetMode="External"/><Relationship Id="rId17" Type="http://schemas.openxmlformats.org/officeDocument/2006/relationships/hyperlink" Target="file:///\\vspsrv1" TargetMode="External"/><Relationship Id="rId25" Type="http://schemas.openxmlformats.org/officeDocument/2006/relationships/hyperlink" Target="file:///\\vspsrv1" TargetMode="External"/><Relationship Id="rId33" Type="http://schemas.openxmlformats.org/officeDocument/2006/relationships/hyperlink" Target="file:///\\vspsrv1" TargetMode="External"/><Relationship Id="rId38" Type="http://schemas.openxmlformats.org/officeDocument/2006/relationships/hyperlink" Target="\" TargetMode="External"/><Relationship Id="rId46" Type="http://schemas.openxmlformats.org/officeDocument/2006/relationships/hyperlink" Target="\" TargetMode="External"/><Relationship Id="rId2" Type="http://schemas.openxmlformats.org/officeDocument/2006/relationships/hyperlink" Target="file:///\\vspsrv1" TargetMode="External"/><Relationship Id="rId16" Type="http://schemas.openxmlformats.org/officeDocument/2006/relationships/hyperlink" Target="file:///\\vspsrv1" TargetMode="External"/><Relationship Id="rId20" Type="http://schemas.openxmlformats.org/officeDocument/2006/relationships/hyperlink" Target="file:///\\vspsrv1" TargetMode="External"/><Relationship Id="rId29" Type="http://schemas.openxmlformats.org/officeDocument/2006/relationships/hyperlink" Target="file:///\\vspsrv1" TargetMode="External"/><Relationship Id="rId41" Type="http://schemas.openxmlformats.org/officeDocument/2006/relationships/hyperlink" Target="\" TargetMode="External"/><Relationship Id="rId54" Type="http://schemas.openxmlformats.org/officeDocument/2006/relationships/hyperlink" Target="\" TargetMode="External"/><Relationship Id="rId1" Type="http://schemas.openxmlformats.org/officeDocument/2006/relationships/hyperlink" Target="file:///\\vspsrv1" TargetMode="External"/><Relationship Id="rId6" Type="http://schemas.openxmlformats.org/officeDocument/2006/relationships/hyperlink" Target="file:///\\vspsrv1" TargetMode="External"/><Relationship Id="rId11" Type="http://schemas.openxmlformats.org/officeDocument/2006/relationships/hyperlink" Target="file:///\\vspsrv1" TargetMode="External"/><Relationship Id="rId24" Type="http://schemas.openxmlformats.org/officeDocument/2006/relationships/hyperlink" Target="file:///\\vspsrv1" TargetMode="External"/><Relationship Id="rId32" Type="http://schemas.openxmlformats.org/officeDocument/2006/relationships/hyperlink" Target="file:///\\vspsrv1" TargetMode="External"/><Relationship Id="rId37" Type="http://schemas.openxmlformats.org/officeDocument/2006/relationships/hyperlink" Target="\" TargetMode="External"/><Relationship Id="rId40" Type="http://schemas.openxmlformats.org/officeDocument/2006/relationships/hyperlink" Target="\" TargetMode="External"/><Relationship Id="rId45" Type="http://schemas.openxmlformats.org/officeDocument/2006/relationships/hyperlink" Target="\" TargetMode="External"/><Relationship Id="rId53" Type="http://schemas.openxmlformats.org/officeDocument/2006/relationships/hyperlink" Target="NULL" TargetMode="External"/><Relationship Id="rId5" Type="http://schemas.openxmlformats.org/officeDocument/2006/relationships/hyperlink" Target="file:///\\vspsrv1" TargetMode="External"/><Relationship Id="rId15" Type="http://schemas.openxmlformats.org/officeDocument/2006/relationships/hyperlink" Target="file:///\\vspsrv1" TargetMode="External"/><Relationship Id="rId23" Type="http://schemas.openxmlformats.org/officeDocument/2006/relationships/hyperlink" Target="file:///\\vspsrv1" TargetMode="External"/><Relationship Id="rId28" Type="http://schemas.openxmlformats.org/officeDocument/2006/relationships/hyperlink" Target="file:///\\vspsrv1" TargetMode="External"/><Relationship Id="rId36" Type="http://schemas.openxmlformats.org/officeDocument/2006/relationships/hyperlink" Target="file:///\\vspsrv1" TargetMode="External"/><Relationship Id="rId49" Type="http://schemas.openxmlformats.org/officeDocument/2006/relationships/hyperlink" Target="file:///\\vspsrv1" TargetMode="External"/><Relationship Id="rId10" Type="http://schemas.openxmlformats.org/officeDocument/2006/relationships/hyperlink" Target="file:///\\vspsrv1" TargetMode="External"/><Relationship Id="rId19" Type="http://schemas.openxmlformats.org/officeDocument/2006/relationships/hyperlink" Target="file:///\\vspsrv1" TargetMode="External"/><Relationship Id="rId31" Type="http://schemas.openxmlformats.org/officeDocument/2006/relationships/hyperlink" Target="file:///\\vspsrv1" TargetMode="External"/><Relationship Id="rId44" Type="http://schemas.openxmlformats.org/officeDocument/2006/relationships/hyperlink" Target="\" TargetMode="External"/><Relationship Id="rId52" Type="http://schemas.openxmlformats.org/officeDocument/2006/relationships/hyperlink" Target="\" TargetMode="External"/><Relationship Id="rId4" Type="http://schemas.openxmlformats.org/officeDocument/2006/relationships/hyperlink" Target="file:///\\vspsrv1" TargetMode="External"/><Relationship Id="rId9" Type="http://schemas.openxmlformats.org/officeDocument/2006/relationships/hyperlink" Target="file:///\\vspsrv1" TargetMode="External"/><Relationship Id="rId14" Type="http://schemas.openxmlformats.org/officeDocument/2006/relationships/hyperlink" Target="file:///\\vspsrv1" TargetMode="External"/><Relationship Id="rId22" Type="http://schemas.openxmlformats.org/officeDocument/2006/relationships/hyperlink" Target="file:///\\vspsrv1" TargetMode="External"/><Relationship Id="rId27" Type="http://schemas.openxmlformats.org/officeDocument/2006/relationships/hyperlink" Target="file:///\\vspsrv1" TargetMode="External"/><Relationship Id="rId30" Type="http://schemas.openxmlformats.org/officeDocument/2006/relationships/hyperlink" Target="file:///\\vspsrv1" TargetMode="External"/><Relationship Id="rId35" Type="http://schemas.openxmlformats.org/officeDocument/2006/relationships/hyperlink" Target="file:///\\vspsrv1" TargetMode="External"/><Relationship Id="rId43" Type="http://schemas.openxmlformats.org/officeDocument/2006/relationships/hyperlink" Target="\" TargetMode="External"/><Relationship Id="rId48" Type="http://schemas.openxmlformats.org/officeDocument/2006/relationships/hyperlink" Target="\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file:///\\vspsrv1" TargetMode="External"/><Relationship Id="rId51" Type="http://schemas.openxmlformats.org/officeDocument/2006/relationships/hyperlink" Target="\" TargetMode="External"/><Relationship Id="rId3" Type="http://schemas.openxmlformats.org/officeDocument/2006/relationships/hyperlink" Target="file:///\\vspsrv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EFCA-C7DF-4136-98BB-2504A28BB96C}">
  <dimension ref="A2:AP79"/>
  <sheetViews>
    <sheetView tabSelected="1" topLeftCell="A19" workbookViewId="0">
      <selection activeCell="J44" sqref="J44"/>
    </sheetView>
  </sheetViews>
  <sheetFormatPr defaultRowHeight="15" x14ac:dyDescent="0.25"/>
  <cols>
    <col min="13" max="13" width="22" customWidth="1"/>
    <col min="14" max="15" width="10.5703125" bestFit="1" customWidth="1"/>
    <col min="16" max="16" width="12.140625" bestFit="1" customWidth="1"/>
    <col min="25" max="25" width="2.42578125" bestFit="1" customWidth="1"/>
    <col min="26" max="26" width="28.42578125" bestFit="1" customWidth="1"/>
    <col min="27" max="27" width="2.42578125" bestFit="1" customWidth="1"/>
    <col min="28" max="28" width="4.5703125" bestFit="1" customWidth="1"/>
    <col min="29" max="29" width="2.42578125" bestFit="1" customWidth="1"/>
    <col min="30" max="30" width="30.85546875" bestFit="1" customWidth="1"/>
    <col min="31" max="31" width="2.42578125" bestFit="1" customWidth="1"/>
    <col min="32" max="32" width="5.5703125" bestFit="1" customWidth="1"/>
    <col min="34" max="34" width="27" bestFit="1" customWidth="1"/>
    <col min="35" max="35" width="2.42578125" bestFit="1" customWidth="1"/>
    <col min="36" max="36" width="4.5703125" bestFit="1" customWidth="1"/>
    <col min="37" max="37" width="2.42578125" bestFit="1" customWidth="1"/>
    <col min="38" max="38" width="35.28515625" bestFit="1" customWidth="1"/>
    <col min="39" max="39" width="2.42578125" bestFit="1" customWidth="1"/>
    <col min="40" max="40" width="16" bestFit="1" customWidth="1"/>
    <col min="41" max="41" width="2.7109375" bestFit="1" customWidth="1"/>
  </cols>
  <sheetData>
    <row r="2" spans="1:34" x14ac:dyDescent="0.25">
      <c r="A2">
        <v>58.622799999999998</v>
      </c>
      <c r="B2">
        <v>19.319400000000002</v>
      </c>
      <c r="C2">
        <v>9.9515999999999991</v>
      </c>
      <c r="D2">
        <v>9.3678000000000008</v>
      </c>
      <c r="M2">
        <v>0.42859999999999998</v>
      </c>
      <c r="N2">
        <v>28.956800000000001</v>
      </c>
      <c r="O2">
        <v>17.529399999999999</v>
      </c>
      <c r="P2">
        <v>11.4274</v>
      </c>
      <c r="S2">
        <v>0.42859999999999998</v>
      </c>
      <c r="T2">
        <v>28.956800000000001</v>
      </c>
      <c r="U2">
        <v>17.529399999999999</v>
      </c>
      <c r="V2">
        <v>11.4274</v>
      </c>
    </row>
    <row r="3" spans="1:34" x14ac:dyDescent="0.25">
      <c r="A3">
        <v>41.377200000000002</v>
      </c>
      <c r="B3">
        <v>25.059899999999999</v>
      </c>
      <c r="C3">
        <v>14.100199999999999</v>
      </c>
      <c r="D3">
        <v>10.9596</v>
      </c>
      <c r="M3">
        <v>0.57140000000000002</v>
      </c>
      <c r="N3">
        <v>21.393799999999999</v>
      </c>
      <c r="O3">
        <v>11.8089</v>
      </c>
      <c r="P3">
        <v>9.5847999999999995</v>
      </c>
      <c r="S3">
        <v>0.57140000000000002</v>
      </c>
      <c r="T3">
        <v>21.393799999999999</v>
      </c>
      <c r="U3">
        <v>11.8089</v>
      </c>
      <c r="V3">
        <v>9.5847999999999995</v>
      </c>
    </row>
    <row r="4" spans="1:34" x14ac:dyDescent="0.25">
      <c r="A4">
        <v>53.551499999999997</v>
      </c>
      <c r="B4">
        <v>22.121300000000002</v>
      </c>
      <c r="C4">
        <v>16.381799999999998</v>
      </c>
      <c r="D4">
        <v>5.7394999999999996</v>
      </c>
      <c r="M4">
        <v>0.67859999999999998</v>
      </c>
      <c r="N4">
        <v>30.261800000000001</v>
      </c>
      <c r="O4">
        <v>23.8552</v>
      </c>
      <c r="P4">
        <v>6.4066000000000001</v>
      </c>
      <c r="S4">
        <v>0.67859999999999998</v>
      </c>
      <c r="T4">
        <v>30.261800000000001</v>
      </c>
      <c r="U4">
        <v>23.8552</v>
      </c>
      <c r="V4">
        <v>6.4066000000000001</v>
      </c>
    </row>
    <row r="5" spans="1:34" x14ac:dyDescent="0.25">
      <c r="A5">
        <v>46.448500000000003</v>
      </c>
      <c r="B5">
        <v>28.677800000000001</v>
      </c>
      <c r="C5">
        <v>22.7698</v>
      </c>
      <c r="D5">
        <v>5.9078999999999997</v>
      </c>
      <c r="M5">
        <v>0.32140000000000002</v>
      </c>
      <c r="N5">
        <v>23.019400000000001</v>
      </c>
      <c r="O5">
        <v>16.190300000000001</v>
      </c>
      <c r="P5">
        <v>6.8291000000000004</v>
      </c>
      <c r="S5">
        <v>0.32140000000000002</v>
      </c>
      <c r="T5">
        <v>23.019400000000001</v>
      </c>
      <c r="U5">
        <v>16.190300000000001</v>
      </c>
      <c r="V5">
        <v>6.8291000000000004</v>
      </c>
    </row>
    <row r="6" spans="1:34" x14ac:dyDescent="0.25">
      <c r="A6">
        <v>38.905200000000001</v>
      </c>
      <c r="B6">
        <v>25.790099999999999</v>
      </c>
      <c r="C6">
        <v>21.7774</v>
      </c>
      <c r="D6">
        <v>4.0126999999999997</v>
      </c>
      <c r="M6">
        <v>0.91590000000000005</v>
      </c>
      <c r="N6">
        <v>33.386800000000001</v>
      </c>
      <c r="O6">
        <v>29.600899999999999</v>
      </c>
      <c r="P6">
        <v>3.7858999999999998</v>
      </c>
      <c r="S6">
        <v>0.91590000000000005</v>
      </c>
      <c r="T6">
        <v>33.386800000000001</v>
      </c>
      <c r="U6">
        <v>29.600899999999999</v>
      </c>
      <c r="V6">
        <v>3.7858999999999998</v>
      </c>
    </row>
    <row r="7" spans="1:34" x14ac:dyDescent="0.25">
      <c r="A7">
        <v>61.094799999999999</v>
      </c>
      <c r="B7">
        <v>31.878699999999998</v>
      </c>
      <c r="C7">
        <v>28.506</v>
      </c>
      <c r="D7">
        <v>3.3725999999999998</v>
      </c>
      <c r="M7">
        <v>8.4099999999999994E-2</v>
      </c>
      <c r="N7">
        <v>24.4633</v>
      </c>
      <c r="O7">
        <v>19.1035</v>
      </c>
      <c r="P7">
        <v>5.3597999999999999</v>
      </c>
      <c r="S7">
        <v>8.4099999999999994E-2</v>
      </c>
      <c r="T7">
        <v>24.4633</v>
      </c>
      <c r="U7">
        <v>19.1035</v>
      </c>
      <c r="V7">
        <v>5.3597999999999999</v>
      </c>
    </row>
    <row r="8" spans="1:34" x14ac:dyDescent="0.25">
      <c r="A8">
        <v>47.805999999999997</v>
      </c>
      <c r="B8">
        <v>22.203499999999998</v>
      </c>
      <c r="C8">
        <v>10.651400000000001</v>
      </c>
      <c r="D8">
        <v>11.552</v>
      </c>
      <c r="M8">
        <v>0.5544</v>
      </c>
      <c r="N8">
        <v>30.3338</v>
      </c>
      <c r="O8">
        <v>15.0909</v>
      </c>
      <c r="P8">
        <v>15.242900000000001</v>
      </c>
      <c r="S8">
        <v>0.5544</v>
      </c>
      <c r="T8">
        <v>30.3338</v>
      </c>
      <c r="U8">
        <v>15.0909</v>
      </c>
      <c r="V8">
        <v>15.242900000000001</v>
      </c>
    </row>
    <row r="9" spans="1:34" x14ac:dyDescent="0.25">
      <c r="A9">
        <v>52.194000000000003</v>
      </c>
      <c r="B9">
        <v>27.998799999999999</v>
      </c>
      <c r="C9">
        <v>14.7494</v>
      </c>
      <c r="D9">
        <v>13.2494</v>
      </c>
      <c r="M9">
        <v>0.4456</v>
      </c>
      <c r="N9">
        <v>23.210699999999999</v>
      </c>
      <c r="O9">
        <v>9.9444999999999997</v>
      </c>
      <c r="P9">
        <v>13.2662</v>
      </c>
      <c r="S9">
        <v>0.4456</v>
      </c>
      <c r="T9">
        <v>23.210699999999999</v>
      </c>
      <c r="U9">
        <v>9.9444999999999997</v>
      </c>
      <c r="V9">
        <v>13.2662</v>
      </c>
    </row>
    <row r="10" spans="1:34" x14ac:dyDescent="0.25">
      <c r="A10">
        <v>42.770400000000002</v>
      </c>
      <c r="B10">
        <v>24.973400000000002</v>
      </c>
      <c r="C10">
        <v>17.824200000000001</v>
      </c>
      <c r="D10">
        <v>7.1492000000000004</v>
      </c>
      <c r="M10">
        <v>0.71779999999999999</v>
      </c>
      <c r="N10">
        <v>33.219099999999997</v>
      </c>
      <c r="O10">
        <v>25.819900000000001</v>
      </c>
      <c r="P10">
        <v>7.3992000000000004</v>
      </c>
      <c r="S10">
        <v>0.71779999999999999</v>
      </c>
      <c r="T10">
        <v>33.219099999999997</v>
      </c>
      <c r="U10">
        <v>25.819900000000001</v>
      </c>
      <c r="V10">
        <v>7.3992000000000004</v>
      </c>
    </row>
    <row r="11" spans="1:34" x14ac:dyDescent="0.25">
      <c r="A11">
        <v>57.229599999999998</v>
      </c>
      <c r="B11">
        <v>31.563700000000001</v>
      </c>
      <c r="C11">
        <v>24.641999999999999</v>
      </c>
      <c r="D11">
        <v>6.9217000000000004</v>
      </c>
      <c r="M11">
        <v>0.28220000000000001</v>
      </c>
      <c r="N11">
        <v>26.0535</v>
      </c>
      <c r="O11">
        <v>17.647300000000001</v>
      </c>
      <c r="P11">
        <v>8.4062000000000001</v>
      </c>
      <c r="S11">
        <v>0.28220000000000001</v>
      </c>
      <c r="T11">
        <v>26.0535</v>
      </c>
      <c r="U11">
        <v>17.647300000000001</v>
      </c>
      <c r="V11">
        <v>8.4062000000000001</v>
      </c>
    </row>
    <row r="12" spans="1:34" x14ac:dyDescent="0.25">
      <c r="A12">
        <v>34.584299999999999</v>
      </c>
      <c r="B12">
        <v>28.7806</v>
      </c>
      <c r="C12">
        <v>23.964099999999998</v>
      </c>
      <c r="D12">
        <v>4.8164999999999996</v>
      </c>
      <c r="M12">
        <v>0.92710000000000004</v>
      </c>
      <c r="N12">
        <v>34.942599999999999</v>
      </c>
      <c r="O12">
        <v>30.402899999999999</v>
      </c>
      <c r="P12">
        <v>4.5396999999999998</v>
      </c>
      <c r="S12">
        <v>0.92710000000000004</v>
      </c>
      <c r="T12">
        <v>34.942599999999999</v>
      </c>
      <c r="U12">
        <v>30.402899999999999</v>
      </c>
      <c r="V12">
        <v>4.5396999999999998</v>
      </c>
    </row>
    <row r="13" spans="1:34" x14ac:dyDescent="0.25">
      <c r="A13">
        <v>65.415700000000001</v>
      </c>
      <c r="B13">
        <v>34.4328</v>
      </c>
      <c r="C13">
        <v>30.309899999999999</v>
      </c>
      <c r="D13">
        <v>4.1228999999999996</v>
      </c>
      <c r="M13">
        <v>7.2900000000000006E-2</v>
      </c>
      <c r="N13">
        <v>28.201499999999999</v>
      </c>
      <c r="O13">
        <v>20.847899999999999</v>
      </c>
      <c r="P13">
        <v>7.3536000000000001</v>
      </c>
      <c r="S13">
        <v>7.2900000000000006E-2</v>
      </c>
      <c r="T13">
        <v>28.201499999999999</v>
      </c>
      <c r="U13">
        <v>20.847899999999999</v>
      </c>
      <c r="V13">
        <v>7.3536000000000001</v>
      </c>
      <c r="AH13">
        <v>6.2</v>
      </c>
    </row>
    <row r="15" spans="1:34" x14ac:dyDescent="0.25">
      <c r="A15" t="s">
        <v>5</v>
      </c>
    </row>
    <row r="16" spans="1:34" x14ac:dyDescent="0.25">
      <c r="A16" t="s">
        <v>1</v>
      </c>
      <c r="B16" t="s">
        <v>3</v>
      </c>
      <c r="C16" s="2">
        <f>A2</f>
        <v>58.622799999999998</v>
      </c>
      <c r="D16" t="s">
        <v>3</v>
      </c>
      <c r="E16" s="2">
        <f>B2</f>
        <v>19.319400000000002</v>
      </c>
      <c r="F16" t="s">
        <v>9</v>
      </c>
      <c r="G16" s="2">
        <f>C2</f>
        <v>9.9515999999999991</v>
      </c>
      <c r="H16" t="s">
        <v>9</v>
      </c>
      <c r="I16" s="2">
        <f>D2</f>
        <v>9.3678000000000008</v>
      </c>
      <c r="J16" s="3" t="s">
        <v>4</v>
      </c>
    </row>
    <row r="17" spans="1:42" x14ac:dyDescent="0.25">
      <c r="A17" s="1" t="s">
        <v>0</v>
      </c>
      <c r="B17" t="s">
        <v>3</v>
      </c>
      <c r="C17" s="2">
        <f>A3</f>
        <v>41.377200000000002</v>
      </c>
      <c r="D17" t="s">
        <v>3</v>
      </c>
      <c r="E17" s="2">
        <f>B3</f>
        <v>25.059899999999999</v>
      </c>
      <c r="F17" t="s">
        <v>9</v>
      </c>
      <c r="G17" s="2">
        <f>C3</f>
        <v>14.100199999999999</v>
      </c>
      <c r="H17" t="s">
        <v>9</v>
      </c>
      <c r="I17" s="2">
        <f>D3</f>
        <v>10.9596</v>
      </c>
      <c r="J17" s="3" t="s">
        <v>4</v>
      </c>
    </row>
    <row r="18" spans="1:42" x14ac:dyDescent="0.25">
      <c r="A18" t="s">
        <v>2</v>
      </c>
      <c r="B18" t="s">
        <v>3</v>
      </c>
      <c r="C18" s="2" t="s">
        <v>10</v>
      </c>
      <c r="D18" t="s">
        <v>3</v>
      </c>
      <c r="E18" s="2">
        <f>E16*$C16/100+E17*$C17/100</f>
        <v>21.694658166000004</v>
      </c>
      <c r="F18" t="s">
        <v>9</v>
      </c>
      <c r="G18" s="2">
        <f>G16*$C16/100+G17*$C17/100</f>
        <v>11.668174519199999</v>
      </c>
      <c r="H18" t="s">
        <v>9</v>
      </c>
      <c r="I18" s="2">
        <f>I16*$C16/100+I17*$C17/100</f>
        <v>10.0264422696</v>
      </c>
      <c r="J18" s="3" t="s">
        <v>4</v>
      </c>
      <c r="O18" s="2"/>
    </row>
    <row r="19" spans="1:42" x14ac:dyDescent="0.25">
      <c r="A19" t="s">
        <v>12</v>
      </c>
      <c r="C19" s="2"/>
      <c r="E19" s="2"/>
      <c r="G19" s="2"/>
      <c r="I19" s="2"/>
      <c r="J19" s="3"/>
      <c r="M19" t="s">
        <v>31</v>
      </c>
      <c r="Q19" s="2"/>
      <c r="Y19" t="s">
        <v>3</v>
      </c>
      <c r="Z19" t="s">
        <v>21</v>
      </c>
      <c r="AC19" t="s">
        <v>3</v>
      </c>
      <c r="AD19" t="s">
        <v>22</v>
      </c>
      <c r="AG19" t="s">
        <v>3</v>
      </c>
      <c r="AH19" t="s">
        <v>23</v>
      </c>
      <c r="AK19" s="3" t="s">
        <v>3</v>
      </c>
      <c r="AL19" t="s">
        <v>28</v>
      </c>
      <c r="AO19" s="3" t="s">
        <v>4</v>
      </c>
    </row>
    <row r="20" spans="1:42" x14ac:dyDescent="0.25">
      <c r="A20" t="s">
        <v>1</v>
      </c>
      <c r="B20" t="s">
        <v>3</v>
      </c>
      <c r="C20" s="2">
        <f>A4</f>
        <v>53.551499999999997</v>
      </c>
      <c r="D20" t="s">
        <v>3</v>
      </c>
      <c r="E20" s="2">
        <f>B4</f>
        <v>22.121300000000002</v>
      </c>
      <c r="F20" t="s">
        <v>9</v>
      </c>
      <c r="G20" s="2">
        <f>C4</f>
        <v>16.381799999999998</v>
      </c>
      <c r="H20" t="s">
        <v>9</v>
      </c>
      <c r="I20" s="2">
        <f>D4</f>
        <v>5.7394999999999996</v>
      </c>
      <c r="J20" s="3" t="s">
        <v>4</v>
      </c>
      <c r="M20" t="s">
        <v>0</v>
      </c>
      <c r="N20" t="s">
        <v>3</v>
      </c>
      <c r="O20" s="2">
        <f>M2*100</f>
        <v>42.86</v>
      </c>
      <c r="P20" t="s">
        <v>3</v>
      </c>
      <c r="Q20" s="2">
        <f>N2</f>
        <v>28.956800000000001</v>
      </c>
      <c r="R20" t="s">
        <v>9</v>
      </c>
      <c r="S20" s="2">
        <f>O2</f>
        <v>17.529399999999999</v>
      </c>
      <c r="T20" t="s">
        <v>9</v>
      </c>
      <c r="U20" s="2">
        <f>P2</f>
        <v>11.4274</v>
      </c>
      <c r="V20" s="3" t="s">
        <v>4</v>
      </c>
      <c r="X20" t="s">
        <v>24</v>
      </c>
      <c r="Y20" t="s">
        <v>3</v>
      </c>
      <c r="Z20" t="s">
        <v>25</v>
      </c>
      <c r="AA20" t="s">
        <v>3</v>
      </c>
      <c r="AB20" t="s">
        <v>26</v>
      </c>
      <c r="AC20" t="s">
        <v>3</v>
      </c>
      <c r="AD20" t="s">
        <v>25</v>
      </c>
      <c r="AE20" t="s">
        <v>3</v>
      </c>
      <c r="AF20" t="s">
        <v>26</v>
      </c>
      <c r="AG20" t="s">
        <v>3</v>
      </c>
      <c r="AH20" t="s">
        <v>25</v>
      </c>
      <c r="AI20" t="s">
        <v>3</v>
      </c>
      <c r="AJ20" t="s">
        <v>26</v>
      </c>
      <c r="AK20" s="3" t="s">
        <v>3</v>
      </c>
      <c r="AL20" t="s">
        <v>26</v>
      </c>
      <c r="AM20" t="s">
        <v>3</v>
      </c>
      <c r="AN20" t="s">
        <v>29</v>
      </c>
      <c r="AO20" s="3" t="s">
        <v>4</v>
      </c>
    </row>
    <row r="21" spans="1:42" x14ac:dyDescent="0.25">
      <c r="A21" s="1" t="s">
        <v>0</v>
      </c>
      <c r="B21" t="s">
        <v>3</v>
      </c>
      <c r="C21" s="2">
        <f>A5</f>
        <v>46.448500000000003</v>
      </c>
      <c r="D21" t="s">
        <v>3</v>
      </c>
      <c r="E21" s="2">
        <f>B5</f>
        <v>28.677800000000001</v>
      </c>
      <c r="F21" t="s">
        <v>9</v>
      </c>
      <c r="G21" s="2">
        <f>C5</f>
        <v>22.7698</v>
      </c>
      <c r="H21" t="s">
        <v>9</v>
      </c>
      <c r="I21" s="2">
        <f>D5</f>
        <v>5.9078999999999997</v>
      </c>
      <c r="J21" s="3" t="s">
        <v>4</v>
      </c>
      <c r="M21" t="s">
        <v>1</v>
      </c>
      <c r="N21" t="s">
        <v>3</v>
      </c>
      <c r="O21" s="2">
        <f>M3*100</f>
        <v>57.14</v>
      </c>
      <c r="P21" t="s">
        <v>3</v>
      </c>
      <c r="Q21" s="2">
        <f>N3</f>
        <v>21.393799999999999</v>
      </c>
      <c r="R21" t="s">
        <v>9</v>
      </c>
      <c r="S21" s="2">
        <f>O3</f>
        <v>11.8089</v>
      </c>
      <c r="T21" t="s">
        <v>9</v>
      </c>
      <c r="U21" s="2">
        <f>P3</f>
        <v>9.5847999999999995</v>
      </c>
      <c r="V21" s="3" t="s">
        <v>4</v>
      </c>
      <c r="X21" t="s">
        <v>27</v>
      </c>
      <c r="Y21" t="s">
        <v>3</v>
      </c>
      <c r="Z21">
        <v>100</v>
      </c>
      <c r="AA21" t="s">
        <v>3</v>
      </c>
      <c r="AB21" s="2">
        <f>Z22/100*AB22+Z23/100*AB23</f>
        <v>27.270251000000002</v>
      </c>
      <c r="AC21" t="s">
        <v>3</v>
      </c>
      <c r="AD21">
        <v>100</v>
      </c>
      <c r="AE21" t="s">
        <v>3</v>
      </c>
      <c r="AF21" s="2">
        <f>AD22/100*AF22+AD23/100*AF23</f>
        <v>27.934092640000003</v>
      </c>
      <c r="AG21" t="s">
        <v>3</v>
      </c>
      <c r="AH21">
        <v>100</v>
      </c>
      <c r="AI21" t="s">
        <v>3</v>
      </c>
      <c r="AJ21" s="2">
        <f>AH22/100*AJ22+AH23/100*AJ23</f>
        <v>32.449832499999999</v>
      </c>
      <c r="AK21" s="3" t="s">
        <v>3</v>
      </c>
      <c r="AL21" s="2">
        <f>AJ21-AB21</f>
        <v>5.1795814999999976</v>
      </c>
      <c r="AM21" t="s">
        <v>3</v>
      </c>
      <c r="AN21" s="2">
        <f>AJ21-(AB22*AH22/100+AB23*AH23/100)</f>
        <v>4.2871474999999997</v>
      </c>
      <c r="AO21" s="3" t="s">
        <v>4</v>
      </c>
      <c r="AP21" s="7">
        <f>(AL21-AN21)/AL21</f>
        <v>0.17229847623789651</v>
      </c>
    </row>
    <row r="22" spans="1:42" x14ac:dyDescent="0.25">
      <c r="A22" t="s">
        <v>2</v>
      </c>
      <c r="B22" t="s">
        <v>3</v>
      </c>
      <c r="C22" s="2" t="s">
        <v>10</v>
      </c>
      <c r="D22" t="s">
        <v>3</v>
      </c>
      <c r="E22" s="2">
        <f>E20*$C20/100+E21*$C21/100</f>
        <v>25.166695902500003</v>
      </c>
      <c r="F22" t="s">
        <v>9</v>
      </c>
      <c r="G22" s="2">
        <f>G20*$C20/100+G21*$C21/100</f>
        <v>19.348930179999996</v>
      </c>
      <c r="H22" t="s">
        <v>9</v>
      </c>
      <c r="I22" s="2">
        <f>I20*$C20/100+I21*$C21/100</f>
        <v>5.8177192739999999</v>
      </c>
      <c r="J22" s="3" t="s">
        <v>4</v>
      </c>
      <c r="M22" t="s">
        <v>20</v>
      </c>
      <c r="N22" t="s">
        <v>3</v>
      </c>
      <c r="O22" s="2">
        <f>O20-O21</f>
        <v>-14.280000000000001</v>
      </c>
      <c r="P22" t="s">
        <v>3</v>
      </c>
      <c r="Q22" s="2">
        <f>Q20-Q21</f>
        <v>7.5630000000000024</v>
      </c>
      <c r="R22" t="s">
        <v>9</v>
      </c>
      <c r="S22" s="2">
        <f>S20-S21</f>
        <v>5.7204999999999995</v>
      </c>
      <c r="T22" t="s">
        <v>9</v>
      </c>
      <c r="U22" s="2">
        <f>U20-U21</f>
        <v>1.8426000000000009</v>
      </c>
      <c r="V22" s="3" t="s">
        <v>4</v>
      </c>
      <c r="X22" s="2" t="s">
        <v>0</v>
      </c>
      <c r="Y22" t="s">
        <v>3</v>
      </c>
      <c r="Z22" s="2">
        <f>100-Z23</f>
        <v>77.7</v>
      </c>
      <c r="AA22" t="s">
        <v>3</v>
      </c>
      <c r="AB22" s="2">
        <f>Q20</f>
        <v>28.956800000000001</v>
      </c>
      <c r="AC22" t="s">
        <v>3</v>
      </c>
      <c r="AD22" s="2">
        <f>O26</f>
        <v>67.86</v>
      </c>
      <c r="AE22" t="s">
        <v>3</v>
      </c>
      <c r="AF22" s="2">
        <f>Q26</f>
        <v>30.261800000000001</v>
      </c>
      <c r="AG22" t="s">
        <v>3</v>
      </c>
      <c r="AH22" s="2">
        <f>100-AH23</f>
        <v>89.5</v>
      </c>
      <c r="AI22" t="s">
        <v>3</v>
      </c>
      <c r="AJ22" s="2">
        <f>Q32</f>
        <v>33.386800000000001</v>
      </c>
      <c r="AK22" s="3" t="s">
        <v>3</v>
      </c>
      <c r="AL22" s="2">
        <f t="shared" ref="AL22:AL24" si="0">AJ22-AB22</f>
        <v>4.43</v>
      </c>
      <c r="AM22" t="s">
        <v>3</v>
      </c>
      <c r="AO22" s="3" t="s">
        <v>4</v>
      </c>
      <c r="AP22" s="6"/>
    </row>
    <row r="23" spans="1:42" x14ac:dyDescent="0.25">
      <c r="A23" t="s">
        <v>6</v>
      </c>
      <c r="C23" s="2"/>
      <c r="E23" s="2"/>
      <c r="G23" s="2"/>
      <c r="I23" s="2"/>
      <c r="J23" s="3"/>
      <c r="M23" t="s">
        <v>2</v>
      </c>
      <c r="N23" t="s">
        <v>3</v>
      </c>
      <c r="O23" t="s">
        <v>10</v>
      </c>
      <c r="P23" t="s">
        <v>3</v>
      </c>
      <c r="Q23">
        <f>ROUND(Q20*$O20/100+Q21*$O21/100,1)</f>
        <v>24.6</v>
      </c>
      <c r="R23" t="s">
        <v>9</v>
      </c>
      <c r="S23">
        <f>ROUND(S20*$O20/100+S21*$O21/100,1)</f>
        <v>14.3</v>
      </c>
      <c r="T23" t="s">
        <v>9</v>
      </c>
      <c r="U23">
        <f>ROUND(U20*$O20/100+U21*$O21/100,1)</f>
        <v>10.4</v>
      </c>
      <c r="V23" s="3" t="s">
        <v>4</v>
      </c>
      <c r="X23" s="2" t="s">
        <v>1</v>
      </c>
      <c r="Y23" t="s">
        <v>3</v>
      </c>
      <c r="Z23" s="2">
        <v>22.3</v>
      </c>
      <c r="AA23" t="s">
        <v>3</v>
      </c>
      <c r="AB23" s="2">
        <f>Q21</f>
        <v>21.393799999999999</v>
      </c>
      <c r="AC23" t="s">
        <v>3</v>
      </c>
      <c r="AD23" s="2">
        <f>O27</f>
        <v>32.14</v>
      </c>
      <c r="AE23" t="s">
        <v>3</v>
      </c>
      <c r="AF23" s="2">
        <f>Q27</f>
        <v>23.019400000000001</v>
      </c>
      <c r="AG23" t="s">
        <v>3</v>
      </c>
      <c r="AH23" s="2">
        <v>10.5</v>
      </c>
      <c r="AI23" t="s">
        <v>3</v>
      </c>
      <c r="AJ23" s="2">
        <f>Q33</f>
        <v>24.4633</v>
      </c>
      <c r="AK23" s="3" t="s">
        <v>3</v>
      </c>
      <c r="AL23" s="2">
        <f t="shared" si="0"/>
        <v>3.0695000000000014</v>
      </c>
      <c r="AM23" t="s">
        <v>3</v>
      </c>
      <c r="AO23" s="3" t="s">
        <v>4</v>
      </c>
    </row>
    <row r="24" spans="1:42" x14ac:dyDescent="0.25">
      <c r="A24" t="s">
        <v>1</v>
      </c>
      <c r="B24" t="s">
        <v>3</v>
      </c>
      <c r="C24" s="2">
        <f>A6</f>
        <v>38.905200000000001</v>
      </c>
      <c r="D24" t="s">
        <v>3</v>
      </c>
      <c r="E24" s="2">
        <f>B6</f>
        <v>25.790099999999999</v>
      </c>
      <c r="F24" t="s">
        <v>9</v>
      </c>
      <c r="G24" s="2">
        <f>C6</f>
        <v>21.7774</v>
      </c>
      <c r="H24" t="s">
        <v>9</v>
      </c>
      <c r="I24" s="2">
        <f>D6</f>
        <v>4.0126999999999997</v>
      </c>
      <c r="J24" s="3" t="s">
        <v>4</v>
      </c>
      <c r="M24" t="s">
        <v>38</v>
      </c>
      <c r="N24" t="s">
        <v>3</v>
      </c>
      <c r="P24" t="s">
        <v>3</v>
      </c>
      <c r="Q24">
        <f>ROUND(Q20*$O$32/100+Q21*$O$33/100,1)</f>
        <v>28.3</v>
      </c>
      <c r="R24" t="s">
        <v>9</v>
      </c>
      <c r="S24" s="2">
        <f>ROUND(S20*$O$32/100+S21*$O$33/100,1)</f>
        <v>17</v>
      </c>
      <c r="T24" t="s">
        <v>9</v>
      </c>
      <c r="U24">
        <f>ROUND(U20*$O$32/100+U21*$O$33/100,1)</f>
        <v>11.3</v>
      </c>
      <c r="V24" t="s">
        <v>30</v>
      </c>
      <c r="X24" s="2" t="s">
        <v>20</v>
      </c>
      <c r="Y24" t="s">
        <v>3</v>
      </c>
      <c r="Z24" s="2">
        <f>Z22-Z23</f>
        <v>55.400000000000006</v>
      </c>
      <c r="AA24" t="s">
        <v>3</v>
      </c>
      <c r="AB24" s="2">
        <f>AB22-AB23</f>
        <v>7.5630000000000024</v>
      </c>
      <c r="AC24" t="s">
        <v>3</v>
      </c>
      <c r="AD24" s="2">
        <f>AD22-AD23</f>
        <v>35.72</v>
      </c>
      <c r="AE24" t="s">
        <v>3</v>
      </c>
      <c r="AF24" s="2">
        <f>AF22-AF23</f>
        <v>7.2423999999999999</v>
      </c>
      <c r="AG24" t="s">
        <v>3</v>
      </c>
      <c r="AH24" s="2">
        <f>AH22-AH23</f>
        <v>79</v>
      </c>
      <c r="AI24" t="s">
        <v>3</v>
      </c>
      <c r="AJ24" s="2">
        <f>AJ22-AJ23</f>
        <v>8.9235000000000007</v>
      </c>
      <c r="AK24" s="3" t="s">
        <v>3</v>
      </c>
      <c r="AL24" s="2">
        <f t="shared" si="0"/>
        <v>1.3604999999999983</v>
      </c>
      <c r="AM24" t="s">
        <v>3</v>
      </c>
      <c r="AO24" s="3" t="s">
        <v>4</v>
      </c>
    </row>
    <row r="25" spans="1:42" x14ac:dyDescent="0.25">
      <c r="A25" s="1" t="s">
        <v>0</v>
      </c>
      <c r="B25" t="s">
        <v>3</v>
      </c>
      <c r="C25" s="2">
        <f>A7</f>
        <v>61.094799999999999</v>
      </c>
      <c r="D25" t="s">
        <v>3</v>
      </c>
      <c r="E25" s="2">
        <f>B7</f>
        <v>31.878699999999998</v>
      </c>
      <c r="F25" t="s">
        <v>9</v>
      </c>
      <c r="G25" s="2">
        <f>C7</f>
        <v>28.506</v>
      </c>
      <c r="H25" t="s">
        <v>9</v>
      </c>
      <c r="I25" s="2">
        <f>D7</f>
        <v>3.3725999999999998</v>
      </c>
      <c r="J25" s="3" t="s">
        <v>4</v>
      </c>
      <c r="M25" t="s">
        <v>32</v>
      </c>
      <c r="O25" s="2"/>
      <c r="Q25" s="2"/>
      <c r="S25" s="2"/>
      <c r="U25" s="2"/>
      <c r="V25" s="3"/>
      <c r="AC25" s="2"/>
      <c r="AD25" s="2"/>
    </row>
    <row r="26" spans="1:42" x14ac:dyDescent="0.25">
      <c r="A26" t="s">
        <v>2</v>
      </c>
      <c r="B26" t="s">
        <v>3</v>
      </c>
      <c r="C26" s="2" t="s">
        <v>10</v>
      </c>
      <c r="D26" t="s">
        <v>3</v>
      </c>
      <c r="E26" s="2">
        <f>E24*$C24/100+E25*$C25/100</f>
        <v>29.509917992799998</v>
      </c>
      <c r="F26" t="s">
        <v>9</v>
      </c>
      <c r="G26" s="2">
        <f>G24*$C24/100+G25*$C25/100</f>
        <v>25.888224712799996</v>
      </c>
      <c r="H26" t="s">
        <v>9</v>
      </c>
      <c r="I26" s="2">
        <f>I24*$C24/100+I25*$C25/100</f>
        <v>3.6216321852000002</v>
      </c>
      <c r="J26" s="3" t="s">
        <v>4</v>
      </c>
      <c r="M26" t="s">
        <v>0</v>
      </c>
      <c r="N26" t="s">
        <v>3</v>
      </c>
      <c r="O26" s="2">
        <f>M4*100</f>
        <v>67.86</v>
      </c>
      <c r="P26" t="s">
        <v>3</v>
      </c>
      <c r="Q26" s="2">
        <f>N4</f>
        <v>30.261800000000001</v>
      </c>
      <c r="R26" t="s">
        <v>9</v>
      </c>
      <c r="S26" s="2">
        <f>O4</f>
        <v>23.8552</v>
      </c>
      <c r="T26" t="s">
        <v>9</v>
      </c>
      <c r="U26" s="2">
        <f>P4</f>
        <v>6.4066000000000001</v>
      </c>
      <c r="V26" s="3" t="s">
        <v>4</v>
      </c>
      <c r="X26" s="2"/>
      <c r="Y26" s="2"/>
      <c r="Z26" s="2"/>
      <c r="AC26" s="4"/>
      <c r="AD26" s="4"/>
    </row>
    <row r="27" spans="1:42" x14ac:dyDescent="0.25">
      <c r="A27" t="s">
        <v>7</v>
      </c>
      <c r="C27" s="2"/>
      <c r="E27" s="2"/>
      <c r="G27" s="2"/>
      <c r="I27" s="2"/>
      <c r="J27" s="3"/>
      <c r="M27" t="s">
        <v>1</v>
      </c>
      <c r="N27" t="s">
        <v>3</v>
      </c>
      <c r="O27" s="2">
        <f>M5*100</f>
        <v>32.14</v>
      </c>
      <c r="P27" t="s">
        <v>3</v>
      </c>
      <c r="Q27" s="2">
        <f>N5</f>
        <v>23.019400000000001</v>
      </c>
      <c r="R27" t="s">
        <v>9</v>
      </c>
      <c r="S27" s="2">
        <f>O5</f>
        <v>16.190300000000001</v>
      </c>
      <c r="T27" t="s">
        <v>9</v>
      </c>
      <c r="U27" s="2">
        <f>P5</f>
        <v>6.8291000000000004</v>
      </c>
      <c r="V27" s="3" t="s">
        <v>4</v>
      </c>
      <c r="X27" s="2"/>
      <c r="Y27" s="2"/>
      <c r="Z27" s="2"/>
      <c r="AA27" s="2"/>
      <c r="AB27" s="2"/>
    </row>
    <row r="28" spans="1:42" x14ac:dyDescent="0.25">
      <c r="A28" t="s">
        <v>1</v>
      </c>
      <c r="B28" t="s">
        <v>3</v>
      </c>
      <c r="C28" s="2">
        <f>A8</f>
        <v>47.805999999999997</v>
      </c>
      <c r="D28" t="s">
        <v>3</v>
      </c>
      <c r="E28" s="2">
        <f>B8</f>
        <v>22.203499999999998</v>
      </c>
      <c r="F28" t="s">
        <v>9</v>
      </c>
      <c r="G28" s="2">
        <f>C8</f>
        <v>10.651400000000001</v>
      </c>
      <c r="H28" t="s">
        <v>9</v>
      </c>
      <c r="I28" s="2">
        <f>D8</f>
        <v>11.552</v>
      </c>
      <c r="J28" s="3" t="s">
        <v>4</v>
      </c>
      <c r="M28" t="s">
        <v>20</v>
      </c>
      <c r="N28" t="s">
        <v>3</v>
      </c>
      <c r="O28" s="2">
        <f>O26-O27</f>
        <v>35.72</v>
      </c>
      <c r="P28" t="s">
        <v>3</v>
      </c>
      <c r="Q28" s="2">
        <f>Q26-Q27</f>
        <v>7.2423999999999999</v>
      </c>
      <c r="R28" t="s">
        <v>9</v>
      </c>
      <c r="S28" s="2">
        <f>S26-S27</f>
        <v>7.6648999999999994</v>
      </c>
      <c r="T28" t="s">
        <v>9</v>
      </c>
      <c r="U28" s="2">
        <f>U26-U27</f>
        <v>-0.42250000000000032</v>
      </c>
      <c r="V28" s="3" t="s">
        <v>4</v>
      </c>
      <c r="X28" s="2"/>
      <c r="Y28" s="2"/>
      <c r="Z28" s="2"/>
      <c r="AA28" s="2"/>
      <c r="AB28" s="2"/>
    </row>
    <row r="29" spans="1:42" x14ac:dyDescent="0.25">
      <c r="A29" s="1" t="s">
        <v>0</v>
      </c>
      <c r="B29" t="s">
        <v>3</v>
      </c>
      <c r="C29" s="2">
        <f>A9</f>
        <v>52.194000000000003</v>
      </c>
      <c r="D29" t="s">
        <v>3</v>
      </c>
      <c r="E29" s="2">
        <f>B9</f>
        <v>27.998799999999999</v>
      </c>
      <c r="F29" t="s">
        <v>9</v>
      </c>
      <c r="G29" s="2">
        <f>C9</f>
        <v>14.7494</v>
      </c>
      <c r="H29" t="s">
        <v>9</v>
      </c>
      <c r="I29" s="2">
        <f>D9</f>
        <v>13.2494</v>
      </c>
      <c r="J29" s="3" t="s">
        <v>4</v>
      </c>
      <c r="M29" t="s">
        <v>2</v>
      </c>
      <c r="N29" t="s">
        <v>3</v>
      </c>
      <c r="O29" t="s">
        <v>10</v>
      </c>
      <c r="P29" t="s">
        <v>3</v>
      </c>
      <c r="Q29">
        <f>ROUND(Q26*$O26/100+Q27*$O27/100,1)</f>
        <v>27.9</v>
      </c>
      <c r="R29" t="s">
        <v>9</v>
      </c>
      <c r="S29">
        <f>ROUND(S26*$O26/100+S27*$O27/100,1)</f>
        <v>21.4</v>
      </c>
      <c r="T29" t="s">
        <v>9</v>
      </c>
      <c r="U29">
        <f>ROUND(U26*$O26/100+U27*$O27/100,1)</f>
        <v>6.5</v>
      </c>
      <c r="V29" s="3" t="s">
        <v>4</v>
      </c>
    </row>
    <row r="30" spans="1:42" x14ac:dyDescent="0.25">
      <c r="A30" t="s">
        <v>2</v>
      </c>
      <c r="B30" t="s">
        <v>3</v>
      </c>
      <c r="C30" s="2" t="s">
        <v>10</v>
      </c>
      <c r="D30" t="s">
        <v>3</v>
      </c>
      <c r="E30" s="2">
        <f>E28*$C28/100+E29*$C29/100</f>
        <v>25.228298881999997</v>
      </c>
      <c r="F30" t="s">
        <v>9</v>
      </c>
      <c r="G30" s="2">
        <f>G28*$C28/100+G29*$C29/100</f>
        <v>12.790310120000001</v>
      </c>
      <c r="H30" t="s">
        <v>9</v>
      </c>
      <c r="I30" s="2">
        <f>I28*$C28/100+I29*$C29/100</f>
        <v>12.437940956</v>
      </c>
      <c r="J30" s="3" t="s">
        <v>4</v>
      </c>
      <c r="M30" t="s">
        <v>38</v>
      </c>
      <c r="N30" t="s">
        <v>3</v>
      </c>
      <c r="P30" t="s">
        <v>3</v>
      </c>
      <c r="Q30">
        <f>ROUND(Q26*$O$32/100+Q27*$O$33/100,1)</f>
        <v>29.7</v>
      </c>
      <c r="R30" t="s">
        <v>9</v>
      </c>
      <c r="S30" s="2">
        <f>ROUND(S26*$O$32/100+S27*$O$33/100,1)</f>
        <v>23.2</v>
      </c>
      <c r="T30" t="s">
        <v>9</v>
      </c>
      <c r="U30">
        <f>ROUND(U26*$O$32/100+U27*$O$33/100,1)</f>
        <v>6.4</v>
      </c>
      <c r="V30" t="s">
        <v>30</v>
      </c>
    </row>
    <row r="31" spans="1:42" x14ac:dyDescent="0.25">
      <c r="A31" t="s">
        <v>11</v>
      </c>
      <c r="C31" s="2"/>
      <c r="E31" s="2"/>
      <c r="G31" s="2"/>
      <c r="I31" s="2"/>
      <c r="J31" s="3"/>
      <c r="M31" t="s">
        <v>33</v>
      </c>
      <c r="O31" s="2"/>
      <c r="Q31" s="2"/>
      <c r="S31" s="2"/>
      <c r="U31" s="2"/>
      <c r="V31" s="3"/>
      <c r="Y31" t="s">
        <v>3</v>
      </c>
      <c r="Z31" t="s">
        <v>21</v>
      </c>
      <c r="AC31" t="s">
        <v>3</v>
      </c>
      <c r="AD31" t="s">
        <v>22</v>
      </c>
      <c r="AG31" t="s">
        <v>3</v>
      </c>
      <c r="AH31" t="s">
        <v>23</v>
      </c>
      <c r="AK31" s="3" t="s">
        <v>3</v>
      </c>
      <c r="AL31" t="s">
        <v>28</v>
      </c>
      <c r="AO31" s="3" t="s">
        <v>4</v>
      </c>
    </row>
    <row r="32" spans="1:42" x14ac:dyDescent="0.25">
      <c r="A32" t="s">
        <v>1</v>
      </c>
      <c r="B32" t="s">
        <v>3</v>
      </c>
      <c r="C32" s="2">
        <f>A10</f>
        <v>42.770400000000002</v>
      </c>
      <c r="D32" t="s">
        <v>3</v>
      </c>
      <c r="E32" s="2">
        <f>B10</f>
        <v>24.973400000000002</v>
      </c>
      <c r="F32" t="s">
        <v>9</v>
      </c>
      <c r="G32" s="2">
        <f>C10</f>
        <v>17.824200000000001</v>
      </c>
      <c r="H32" t="s">
        <v>9</v>
      </c>
      <c r="I32" s="2">
        <f>D10</f>
        <v>7.1492000000000004</v>
      </c>
      <c r="J32" s="3" t="s">
        <v>4</v>
      </c>
      <c r="M32" t="s">
        <v>0</v>
      </c>
      <c r="N32" t="s">
        <v>3</v>
      </c>
      <c r="O32" s="2">
        <f>M6*100</f>
        <v>91.59</v>
      </c>
      <c r="P32" t="s">
        <v>3</v>
      </c>
      <c r="Q32" s="2">
        <f>N6</f>
        <v>33.386800000000001</v>
      </c>
      <c r="R32" t="s">
        <v>9</v>
      </c>
      <c r="S32" s="2">
        <f>O6</f>
        <v>29.600899999999999</v>
      </c>
      <c r="T32" t="s">
        <v>9</v>
      </c>
      <c r="U32" s="2">
        <f>P6</f>
        <v>3.7858999999999998</v>
      </c>
      <c r="V32" s="3" t="s">
        <v>4</v>
      </c>
      <c r="X32" t="s">
        <v>24</v>
      </c>
      <c r="Y32" t="s">
        <v>3</v>
      </c>
      <c r="Z32" t="s">
        <v>25</v>
      </c>
      <c r="AA32" t="s">
        <v>3</v>
      </c>
      <c r="AB32" t="s">
        <v>26</v>
      </c>
      <c r="AC32" t="s">
        <v>3</v>
      </c>
      <c r="AD32" t="s">
        <v>25</v>
      </c>
      <c r="AE32" t="s">
        <v>3</v>
      </c>
      <c r="AF32" t="s">
        <v>26</v>
      </c>
      <c r="AG32" t="s">
        <v>3</v>
      </c>
      <c r="AH32" t="s">
        <v>25</v>
      </c>
      <c r="AI32" t="s">
        <v>3</v>
      </c>
      <c r="AJ32" t="s">
        <v>26</v>
      </c>
      <c r="AK32" s="3" t="s">
        <v>3</v>
      </c>
      <c r="AL32" t="s">
        <v>26</v>
      </c>
      <c r="AM32" t="s">
        <v>3</v>
      </c>
      <c r="AN32" t="s">
        <v>29</v>
      </c>
      <c r="AO32" s="3" t="s">
        <v>4</v>
      </c>
    </row>
    <row r="33" spans="1:41" x14ac:dyDescent="0.25">
      <c r="A33" s="1" t="s">
        <v>0</v>
      </c>
      <c r="B33" t="s">
        <v>3</v>
      </c>
      <c r="C33" s="2">
        <f>A11</f>
        <v>57.229599999999998</v>
      </c>
      <c r="D33" t="s">
        <v>3</v>
      </c>
      <c r="E33" s="2">
        <f>B11</f>
        <v>31.563700000000001</v>
      </c>
      <c r="F33" t="s">
        <v>9</v>
      </c>
      <c r="G33" s="2">
        <f>C11</f>
        <v>24.641999999999999</v>
      </c>
      <c r="H33" t="s">
        <v>9</v>
      </c>
      <c r="I33" s="2">
        <f>D11</f>
        <v>6.9217000000000004</v>
      </c>
      <c r="J33" s="3" t="s">
        <v>4</v>
      </c>
      <c r="M33" t="s">
        <v>1</v>
      </c>
      <c r="N33" t="s">
        <v>3</v>
      </c>
      <c r="O33" s="2">
        <f>M7*100</f>
        <v>8.41</v>
      </c>
      <c r="P33" t="s">
        <v>3</v>
      </c>
      <c r="Q33" s="2">
        <f>N7</f>
        <v>24.4633</v>
      </c>
      <c r="R33" t="s">
        <v>9</v>
      </c>
      <c r="S33" s="2">
        <f>O7</f>
        <v>19.1035</v>
      </c>
      <c r="T33" t="s">
        <v>9</v>
      </c>
      <c r="U33" s="2">
        <f>P7</f>
        <v>5.3597999999999999</v>
      </c>
      <c r="V33" s="3" t="s">
        <v>4</v>
      </c>
      <c r="X33" t="s">
        <v>27</v>
      </c>
      <c r="Y33" t="s">
        <v>3</v>
      </c>
      <c r="Z33">
        <v>100</v>
      </c>
      <c r="AA33" t="s">
        <v>3</v>
      </c>
      <c r="AB33" s="2">
        <f>Z34/100*AB34+Z35/100*AB35</f>
        <v>27.159746639999998</v>
      </c>
      <c r="AC33" t="s">
        <v>3</v>
      </c>
      <c r="AD33">
        <v>100</v>
      </c>
      <c r="AE33" t="s">
        <v>3</v>
      </c>
      <c r="AF33" s="2">
        <f>AD34/100*AF34+AD35/100*AF35</f>
        <v>31.19696768</v>
      </c>
      <c r="AG33" t="s">
        <v>3</v>
      </c>
      <c r="AH33">
        <v>100</v>
      </c>
      <c r="AI33" t="s">
        <v>3</v>
      </c>
      <c r="AJ33" s="2">
        <f>AH34/100*AJ34+AH35/100*AJ35</f>
        <v>34.45117381</v>
      </c>
      <c r="AK33" s="3" t="s">
        <v>3</v>
      </c>
      <c r="AL33" s="2">
        <f>AJ33-AB33</f>
        <v>7.2914271700000022</v>
      </c>
      <c r="AM33" t="s">
        <v>3</v>
      </c>
      <c r="AN33" s="2">
        <f>AJ33-(AB34*AH34/100+AB35*AH35/100)</f>
        <v>4.6366477999999987</v>
      </c>
      <c r="AO33" s="3" t="s">
        <v>4</v>
      </c>
    </row>
    <row r="34" spans="1:41" x14ac:dyDescent="0.25">
      <c r="A34" t="s">
        <v>2</v>
      </c>
      <c r="B34" t="s">
        <v>3</v>
      </c>
      <c r="C34" s="2" t="s">
        <v>10</v>
      </c>
      <c r="D34" t="s">
        <v>3</v>
      </c>
      <c r="E34" s="2">
        <f>E32*$C32/100+E33*$C33/100</f>
        <v>28.745002328800002</v>
      </c>
      <c r="F34" t="s">
        <v>9</v>
      </c>
      <c r="G34" s="2">
        <f>G32*$C32/100+G33*$C33/100</f>
        <v>21.7259996688</v>
      </c>
      <c r="H34" t="s">
        <v>9</v>
      </c>
      <c r="I34" s="2">
        <f>I32*$C32/100+I33*$C33/100</f>
        <v>7.0190026599999999</v>
      </c>
      <c r="J34" s="3" t="s">
        <v>4</v>
      </c>
      <c r="M34" t="s">
        <v>20</v>
      </c>
      <c r="N34" t="s">
        <v>3</v>
      </c>
      <c r="O34" s="2">
        <f>O32-O33</f>
        <v>83.18</v>
      </c>
      <c r="P34" t="s">
        <v>3</v>
      </c>
      <c r="Q34" s="2">
        <f>Q32-Q33</f>
        <v>8.9235000000000007</v>
      </c>
      <c r="R34" t="s">
        <v>9</v>
      </c>
      <c r="S34" s="2">
        <f>S32-S33</f>
        <v>10.497399999999999</v>
      </c>
      <c r="T34" t="s">
        <v>9</v>
      </c>
      <c r="U34" s="2">
        <f>U32-U33</f>
        <v>-1.5739000000000001</v>
      </c>
      <c r="V34" s="3" t="s">
        <v>4</v>
      </c>
      <c r="X34" s="2" t="s">
        <v>0</v>
      </c>
      <c r="Y34" t="s">
        <v>3</v>
      </c>
      <c r="Z34" s="2">
        <f>O38</f>
        <v>55.44</v>
      </c>
      <c r="AA34" t="s">
        <v>3</v>
      </c>
      <c r="AB34" s="2">
        <f>Q38</f>
        <v>30.3338</v>
      </c>
      <c r="AC34" t="s">
        <v>3</v>
      </c>
      <c r="AD34" s="2">
        <f>O44</f>
        <v>71.78</v>
      </c>
      <c r="AE34" t="s">
        <v>3</v>
      </c>
      <c r="AF34" s="2">
        <f>Q44</f>
        <v>33.219099999999997</v>
      </c>
      <c r="AG34" t="s">
        <v>3</v>
      </c>
      <c r="AH34" s="2">
        <f>O50</f>
        <v>92.710000000000008</v>
      </c>
      <c r="AI34" t="s">
        <v>3</v>
      </c>
      <c r="AJ34" s="2">
        <f>Q50</f>
        <v>34.942599999999999</v>
      </c>
      <c r="AK34" s="3" t="s">
        <v>3</v>
      </c>
      <c r="AL34" s="2">
        <f t="shared" ref="AL34:AL35" si="1">AJ34-AB34</f>
        <v>4.6087999999999987</v>
      </c>
      <c r="AM34" t="s">
        <v>3</v>
      </c>
      <c r="AO34" s="3" t="s">
        <v>4</v>
      </c>
    </row>
    <row r="35" spans="1:41" x14ac:dyDescent="0.25">
      <c r="A35" t="s">
        <v>8</v>
      </c>
      <c r="C35" s="2"/>
      <c r="E35" s="2"/>
      <c r="G35" s="2"/>
      <c r="I35" s="2"/>
      <c r="J35" s="3"/>
      <c r="M35" t="s">
        <v>2</v>
      </c>
      <c r="N35" t="s">
        <v>3</v>
      </c>
      <c r="O35" t="s">
        <v>10</v>
      </c>
      <c r="P35" t="s">
        <v>3</v>
      </c>
      <c r="Q35">
        <f>ROUND(Q32*$O32/100+Q33*$O33/100,1)</f>
        <v>32.6</v>
      </c>
      <c r="R35" t="s">
        <v>9</v>
      </c>
      <c r="S35">
        <f>ROUND(S32*$O32/100+S33*$O33/100,1)</f>
        <v>28.7</v>
      </c>
      <c r="T35" t="s">
        <v>9</v>
      </c>
      <c r="U35">
        <f>ROUND(U32*$O32/100+U33*$O33/100,1)</f>
        <v>3.9</v>
      </c>
      <c r="V35" s="3" t="s">
        <v>4</v>
      </c>
      <c r="X35" s="2" t="s">
        <v>1</v>
      </c>
      <c r="Y35" t="s">
        <v>3</v>
      </c>
      <c r="Z35" s="2">
        <f>O39</f>
        <v>44.56</v>
      </c>
      <c r="AA35" t="s">
        <v>3</v>
      </c>
      <c r="AB35" s="2">
        <f>Q39</f>
        <v>23.210699999999999</v>
      </c>
      <c r="AC35" t="s">
        <v>3</v>
      </c>
      <c r="AD35" s="2">
        <f>O45</f>
        <v>28.22</v>
      </c>
      <c r="AE35" t="s">
        <v>3</v>
      </c>
      <c r="AF35" s="2">
        <f>Q45</f>
        <v>26.0535</v>
      </c>
      <c r="AG35" t="s">
        <v>3</v>
      </c>
      <c r="AH35" s="2">
        <f>O51</f>
        <v>7.2900000000000009</v>
      </c>
      <c r="AI35" t="s">
        <v>3</v>
      </c>
      <c r="AJ35" s="2">
        <f>Q51</f>
        <v>28.201499999999999</v>
      </c>
      <c r="AK35" s="3" t="s">
        <v>3</v>
      </c>
      <c r="AL35" s="2">
        <f t="shared" si="1"/>
        <v>4.9908000000000001</v>
      </c>
      <c r="AM35" t="s">
        <v>3</v>
      </c>
      <c r="AO35" s="3" t="s">
        <v>4</v>
      </c>
    </row>
    <row r="36" spans="1:41" x14ac:dyDescent="0.25">
      <c r="A36" t="s">
        <v>1</v>
      </c>
      <c r="B36" t="s">
        <v>3</v>
      </c>
      <c r="C36" s="2">
        <f>A12</f>
        <v>34.584299999999999</v>
      </c>
      <c r="D36" t="s">
        <v>3</v>
      </c>
      <c r="E36" s="2">
        <f>B12</f>
        <v>28.7806</v>
      </c>
      <c r="F36" t="s">
        <v>9</v>
      </c>
      <c r="G36" s="2">
        <f>C12</f>
        <v>23.964099999999998</v>
      </c>
      <c r="H36" t="s">
        <v>9</v>
      </c>
      <c r="I36" s="2">
        <f>D12</f>
        <v>4.8164999999999996</v>
      </c>
      <c r="J36" s="3" t="s">
        <v>4</v>
      </c>
      <c r="M36" t="s">
        <v>38</v>
      </c>
      <c r="N36" t="s">
        <v>3</v>
      </c>
      <c r="P36" t="s">
        <v>3</v>
      </c>
      <c r="Q36">
        <f>ROUND(Q32*$O$32/100+Q33*$O$33/100,1)</f>
        <v>32.6</v>
      </c>
      <c r="R36" t="s">
        <v>9</v>
      </c>
      <c r="S36" s="2">
        <f>ROUND(S32*$O$32/100+S33*$O$33/100,1)</f>
        <v>28.7</v>
      </c>
      <c r="T36" t="s">
        <v>9</v>
      </c>
      <c r="U36">
        <f>ROUND(U32*$O$32/100+U33*$O$33/100,1)</f>
        <v>3.9</v>
      </c>
      <c r="V36" t="s">
        <v>30</v>
      </c>
      <c r="X36" s="2" t="s">
        <v>20</v>
      </c>
      <c r="Y36" t="s">
        <v>3</v>
      </c>
      <c r="Z36" s="2">
        <f>Z34-Z35</f>
        <v>10.879999999999995</v>
      </c>
      <c r="AA36" t="s">
        <v>3</v>
      </c>
      <c r="AB36" s="2">
        <f>AB34-AB35</f>
        <v>7.1231000000000009</v>
      </c>
      <c r="AC36" t="s">
        <v>3</v>
      </c>
      <c r="AD36" s="2">
        <f>AD34-AD35</f>
        <v>43.56</v>
      </c>
      <c r="AE36" t="s">
        <v>3</v>
      </c>
      <c r="AF36" s="2">
        <f>AF34-AF35</f>
        <v>7.1655999999999977</v>
      </c>
      <c r="AG36" t="s">
        <v>3</v>
      </c>
      <c r="AH36" s="2">
        <f>AH34-AH35</f>
        <v>85.42</v>
      </c>
      <c r="AI36" t="s">
        <v>3</v>
      </c>
      <c r="AJ36" s="2">
        <f>AJ34-AJ35</f>
        <v>6.7410999999999994</v>
      </c>
      <c r="AK36" s="3" t="s">
        <v>3</v>
      </c>
      <c r="AL36" s="2">
        <f>AJ36-AB36</f>
        <v>-0.38200000000000145</v>
      </c>
      <c r="AM36" t="s">
        <v>3</v>
      </c>
      <c r="AO36" s="3" t="s">
        <v>4</v>
      </c>
    </row>
    <row r="37" spans="1:41" x14ac:dyDescent="0.25">
      <c r="A37" s="1" t="s">
        <v>0</v>
      </c>
      <c r="B37" t="s">
        <v>3</v>
      </c>
      <c r="C37" s="2">
        <f>A13</f>
        <v>65.415700000000001</v>
      </c>
      <c r="D37" t="s">
        <v>3</v>
      </c>
      <c r="E37" s="2">
        <f>B13</f>
        <v>34.4328</v>
      </c>
      <c r="F37" t="s">
        <v>9</v>
      </c>
      <c r="G37" s="2">
        <f>C13</f>
        <v>30.309899999999999</v>
      </c>
      <c r="H37" t="s">
        <v>9</v>
      </c>
      <c r="I37" s="2">
        <f>D13</f>
        <v>4.1228999999999996</v>
      </c>
      <c r="J37" s="3" t="s">
        <v>4</v>
      </c>
      <c r="M37" t="s">
        <v>34</v>
      </c>
      <c r="O37" s="2"/>
      <c r="Q37" s="2"/>
      <c r="S37" s="2"/>
      <c r="U37" s="2"/>
      <c r="V37" s="3"/>
      <c r="X37" s="2"/>
      <c r="Y37" s="2"/>
      <c r="Z37" s="2"/>
      <c r="AA37" s="2"/>
      <c r="AB37" s="2"/>
    </row>
    <row r="38" spans="1:41" x14ac:dyDescent="0.25">
      <c r="A38" t="s">
        <v>2</v>
      </c>
      <c r="B38" t="s">
        <v>3</v>
      </c>
      <c r="C38" s="2" t="s">
        <v>10</v>
      </c>
      <c r="D38" t="s">
        <v>3</v>
      </c>
      <c r="E38" s="2">
        <f>E36*$C36/100+E37*$C37/100</f>
        <v>32.478026195400005</v>
      </c>
      <c r="F38" t="s">
        <v>9</v>
      </c>
      <c r="G38" s="2">
        <f>G36*$C36/100+G37*$C37/100</f>
        <v>28.1152494906</v>
      </c>
      <c r="H38" t="s">
        <v>9</v>
      </c>
      <c r="I38" s="2">
        <f>I36*$C36/100+I37*$C37/100</f>
        <v>4.3627767047999999</v>
      </c>
      <c r="J38" s="3" t="s">
        <v>4</v>
      </c>
      <c r="M38" t="s">
        <v>0</v>
      </c>
      <c r="N38" t="s">
        <v>3</v>
      </c>
      <c r="O38" s="2">
        <f>M8*100</f>
        <v>55.44</v>
      </c>
      <c r="P38" t="s">
        <v>3</v>
      </c>
      <c r="Q38" s="2">
        <f>N8</f>
        <v>30.3338</v>
      </c>
      <c r="R38" t="s">
        <v>9</v>
      </c>
      <c r="S38" s="2">
        <f>O8</f>
        <v>15.0909</v>
      </c>
      <c r="T38" t="s">
        <v>9</v>
      </c>
      <c r="U38" s="2">
        <f>P8</f>
        <v>15.242900000000001</v>
      </c>
      <c r="V38" s="3" t="s">
        <v>4</v>
      </c>
      <c r="X38" s="2"/>
      <c r="Y38" s="2"/>
      <c r="Z38" s="2"/>
      <c r="AA38" s="2"/>
      <c r="AB38" s="2"/>
    </row>
    <row r="39" spans="1:41" x14ac:dyDescent="0.25">
      <c r="L39" s="2"/>
      <c r="M39" t="s">
        <v>1</v>
      </c>
      <c r="N39" t="s">
        <v>3</v>
      </c>
      <c r="O39" s="2">
        <f>M9*100</f>
        <v>44.56</v>
      </c>
      <c r="P39" t="s">
        <v>3</v>
      </c>
      <c r="Q39" s="2">
        <f>N9</f>
        <v>23.210699999999999</v>
      </c>
      <c r="R39" t="s">
        <v>9</v>
      </c>
      <c r="S39" s="2">
        <f>O9</f>
        <v>9.9444999999999997</v>
      </c>
      <c r="T39" t="s">
        <v>9</v>
      </c>
      <c r="U39" s="2">
        <f>P9</f>
        <v>13.2662</v>
      </c>
      <c r="V39" s="3" t="s">
        <v>4</v>
      </c>
      <c r="X39" s="2"/>
    </row>
    <row r="40" spans="1:41" x14ac:dyDescent="0.25">
      <c r="M40" t="s">
        <v>20</v>
      </c>
      <c r="N40" t="s">
        <v>3</v>
      </c>
      <c r="O40" s="2">
        <f>O38-O39</f>
        <v>10.879999999999995</v>
      </c>
      <c r="P40" t="s">
        <v>3</v>
      </c>
      <c r="Q40" s="2">
        <f>Q38-Q39</f>
        <v>7.1231000000000009</v>
      </c>
      <c r="R40" t="s">
        <v>9</v>
      </c>
      <c r="S40" s="2">
        <f>S38-S39</f>
        <v>5.1463999999999999</v>
      </c>
      <c r="T40" t="s">
        <v>9</v>
      </c>
      <c r="U40" s="2">
        <f>U38-U39</f>
        <v>1.976700000000001</v>
      </c>
      <c r="V40" s="3" t="s">
        <v>4</v>
      </c>
    </row>
    <row r="41" spans="1:41" x14ac:dyDescent="0.25">
      <c r="M41" t="s">
        <v>2</v>
      </c>
      <c r="N41" t="s">
        <v>3</v>
      </c>
      <c r="O41" t="s">
        <v>10</v>
      </c>
      <c r="P41" t="s">
        <v>3</v>
      </c>
      <c r="Q41">
        <f>ROUND(Q38*$O38/100+Q39*$O39/100,1)</f>
        <v>27.2</v>
      </c>
      <c r="R41" t="s">
        <v>9</v>
      </c>
      <c r="S41">
        <f>ROUND(S38*$O38/100+S39*$O39/100,1)</f>
        <v>12.8</v>
      </c>
      <c r="T41" t="s">
        <v>9</v>
      </c>
      <c r="U41">
        <f>ROUND(U38*$O38/100+U39*$O39/100,1)</f>
        <v>14.4</v>
      </c>
      <c r="V41" s="3" t="s">
        <v>4</v>
      </c>
    </row>
    <row r="42" spans="1:41" x14ac:dyDescent="0.25">
      <c r="M42" t="s">
        <v>38</v>
      </c>
      <c r="N42" t="s">
        <v>3</v>
      </c>
      <c r="P42" t="s">
        <v>3</v>
      </c>
      <c r="Q42">
        <f>ROUND(Q38*$O$50/100+Q39*$O$51/100,1)</f>
        <v>29.8</v>
      </c>
      <c r="R42" t="s">
        <v>9</v>
      </c>
      <c r="S42">
        <f>ROUND(S38*$O$50/100+S39*$O$51/100,1)</f>
        <v>14.7</v>
      </c>
      <c r="T42" t="s">
        <v>9</v>
      </c>
      <c r="U42">
        <f>ROUND(U38*$O$50/100+U39*$O$51/100,1)</f>
        <v>15.1</v>
      </c>
      <c r="V42" t="s">
        <v>30</v>
      </c>
    </row>
    <row r="43" spans="1:41" x14ac:dyDescent="0.25">
      <c r="M43" t="s">
        <v>35</v>
      </c>
      <c r="O43" s="2"/>
      <c r="Q43" s="2"/>
      <c r="S43" s="2"/>
      <c r="U43" s="2"/>
      <c r="V43" s="3"/>
    </row>
    <row r="44" spans="1:41" x14ac:dyDescent="0.25">
      <c r="M44" t="s">
        <v>0</v>
      </c>
      <c r="N44" t="s">
        <v>3</v>
      </c>
      <c r="O44" s="2">
        <f>M10*100</f>
        <v>71.78</v>
      </c>
      <c r="P44" t="s">
        <v>3</v>
      </c>
      <c r="Q44" s="2">
        <f>N10</f>
        <v>33.219099999999997</v>
      </c>
      <c r="R44" t="s">
        <v>9</v>
      </c>
      <c r="S44" s="2">
        <f>O10</f>
        <v>25.819900000000001</v>
      </c>
      <c r="T44" t="s">
        <v>9</v>
      </c>
      <c r="U44" s="2">
        <f>P10</f>
        <v>7.3992000000000004</v>
      </c>
      <c r="V44" s="3" t="s">
        <v>4</v>
      </c>
    </row>
    <row r="45" spans="1:41" x14ac:dyDescent="0.25">
      <c r="M45" t="s">
        <v>1</v>
      </c>
      <c r="N45" t="s">
        <v>3</v>
      </c>
      <c r="O45" s="2">
        <f>M11*100</f>
        <v>28.22</v>
      </c>
      <c r="P45" t="s">
        <v>3</v>
      </c>
      <c r="Q45" s="2">
        <f>N11</f>
        <v>26.0535</v>
      </c>
      <c r="R45" t="s">
        <v>9</v>
      </c>
      <c r="S45" s="2">
        <f>O11</f>
        <v>17.647300000000001</v>
      </c>
      <c r="T45" t="s">
        <v>9</v>
      </c>
      <c r="U45" s="2">
        <f>P11</f>
        <v>8.4062000000000001</v>
      </c>
      <c r="V45" s="3" t="s">
        <v>4</v>
      </c>
    </row>
    <row r="46" spans="1:41" x14ac:dyDescent="0.25">
      <c r="M46" t="s">
        <v>20</v>
      </c>
      <c r="N46" t="s">
        <v>3</v>
      </c>
      <c r="O46" s="2">
        <f>O44-O45</f>
        <v>43.56</v>
      </c>
      <c r="P46" t="s">
        <v>3</v>
      </c>
      <c r="Q46" s="2">
        <f>Q44-Q45</f>
        <v>7.1655999999999977</v>
      </c>
      <c r="R46" t="s">
        <v>9</v>
      </c>
      <c r="S46" s="2">
        <f>S44-S45</f>
        <v>8.1725999999999992</v>
      </c>
      <c r="T46" t="s">
        <v>9</v>
      </c>
      <c r="U46" s="2">
        <f>U44-U45</f>
        <v>-1.0069999999999997</v>
      </c>
      <c r="V46" s="3" t="s">
        <v>4</v>
      </c>
      <c r="AD46" t="s">
        <v>37</v>
      </c>
    </row>
    <row r="47" spans="1:41" x14ac:dyDescent="0.25">
      <c r="M47" t="s">
        <v>2</v>
      </c>
      <c r="N47" t="s">
        <v>3</v>
      </c>
      <c r="O47" t="s">
        <v>10</v>
      </c>
      <c r="P47" t="s">
        <v>3</v>
      </c>
      <c r="Q47">
        <f>ROUND(Q44*$O44/100+Q45*$O45/100,1)</f>
        <v>31.2</v>
      </c>
      <c r="R47" t="s">
        <v>9</v>
      </c>
      <c r="S47">
        <f>ROUND(S44*$O44/100+S45*$O45/100,1)</f>
        <v>23.5</v>
      </c>
      <c r="T47" t="s">
        <v>9</v>
      </c>
      <c r="U47">
        <f>ROUND(U44*$O44/100+U45*$O45/100,1)</f>
        <v>7.7</v>
      </c>
      <c r="V47" s="3" t="s">
        <v>4</v>
      </c>
      <c r="AD47">
        <v>0.38132500000000003</v>
      </c>
      <c r="AF47" s="9">
        <f>AD50/(AD47+AD50)</f>
        <v>0.22325993522498114</v>
      </c>
    </row>
    <row r="48" spans="1:41" x14ac:dyDescent="0.25">
      <c r="M48" t="s">
        <v>38</v>
      </c>
      <c r="N48" t="s">
        <v>3</v>
      </c>
      <c r="P48" t="s">
        <v>3</v>
      </c>
      <c r="Q48">
        <f>ROUND(Q44*$O$50/100+Q45*$O$51/100,1)</f>
        <v>32.700000000000003</v>
      </c>
      <c r="R48" t="s">
        <v>9</v>
      </c>
      <c r="S48">
        <f>ROUND(S44*$O$50/100+S45*$O$51/100,1)</f>
        <v>25.2</v>
      </c>
      <c r="T48" t="s">
        <v>9</v>
      </c>
      <c r="U48">
        <f>ROUND(U44*$O$50/100+U45*$O$51/100,1)</f>
        <v>7.5</v>
      </c>
      <c r="V48" t="s">
        <v>30</v>
      </c>
      <c r="AD48">
        <v>0.30206</v>
      </c>
    </row>
    <row r="49" spans="7:30" x14ac:dyDescent="0.25">
      <c r="M49" t="s">
        <v>36</v>
      </c>
      <c r="O49" s="2"/>
      <c r="Q49" s="2"/>
      <c r="S49" s="2"/>
      <c r="U49" s="2"/>
      <c r="V49" s="3"/>
      <c r="X49" s="5">
        <f>(X38-Q40)/(Q52-Q40)</f>
        <v>18.646858638743389</v>
      </c>
      <c r="Y49" s="5"/>
      <c r="Z49" s="5"/>
      <c r="AD49">
        <v>0.13320499999999999</v>
      </c>
    </row>
    <row r="50" spans="7:30" x14ac:dyDescent="0.25">
      <c r="M50" t="s">
        <v>0</v>
      </c>
      <c r="N50" t="s">
        <v>3</v>
      </c>
      <c r="O50" s="2">
        <f>M12*100</f>
        <v>92.710000000000008</v>
      </c>
      <c r="P50" t="s">
        <v>3</v>
      </c>
      <c r="Q50" s="2">
        <f>N12</f>
        <v>34.942599999999999</v>
      </c>
      <c r="R50" t="s">
        <v>9</v>
      </c>
      <c r="S50" s="2">
        <f>O12</f>
        <v>30.402899999999999</v>
      </c>
      <c r="T50" t="s">
        <v>9</v>
      </c>
      <c r="U50" s="2">
        <f>P12</f>
        <v>4.5396999999999998</v>
      </c>
      <c r="V50" s="3" t="s">
        <v>4</v>
      </c>
      <c r="AD50">
        <v>0.10960499999999999</v>
      </c>
    </row>
    <row r="51" spans="7:30" x14ac:dyDescent="0.25">
      <c r="M51" t="s">
        <v>1</v>
      </c>
      <c r="N51" t="s">
        <v>3</v>
      </c>
      <c r="O51" s="2">
        <f>M13*100</f>
        <v>7.2900000000000009</v>
      </c>
      <c r="P51" t="s">
        <v>3</v>
      </c>
      <c r="Q51" s="2">
        <f>N13</f>
        <v>28.201499999999999</v>
      </c>
      <c r="R51" t="s">
        <v>9</v>
      </c>
      <c r="S51" s="2">
        <f>O13</f>
        <v>20.847899999999999</v>
      </c>
      <c r="T51" t="s">
        <v>9</v>
      </c>
      <c r="U51" s="2">
        <f>P13</f>
        <v>7.3536000000000001</v>
      </c>
      <c r="V51" s="3" t="s">
        <v>4</v>
      </c>
      <c r="AD51" s="8">
        <v>5.8035000000000003E-2</v>
      </c>
    </row>
    <row r="52" spans="7:30" x14ac:dyDescent="0.25">
      <c r="M52" t="s">
        <v>20</v>
      </c>
      <c r="N52" t="s">
        <v>3</v>
      </c>
      <c r="O52" s="2">
        <f>O50-O51</f>
        <v>85.42</v>
      </c>
      <c r="P52" t="s">
        <v>3</v>
      </c>
      <c r="Q52" s="2">
        <f>Q50-Q51</f>
        <v>6.7410999999999994</v>
      </c>
      <c r="R52" t="s">
        <v>9</v>
      </c>
      <c r="S52" s="2">
        <f>S50-S51</f>
        <v>9.5549999999999997</v>
      </c>
      <c r="T52" t="s">
        <v>9</v>
      </c>
      <c r="U52" s="2">
        <f>U50-U51</f>
        <v>-2.8139000000000003</v>
      </c>
      <c r="V52" s="3" t="s">
        <v>4</v>
      </c>
      <c r="AD52" s="8">
        <v>1.5769999999999999E-2</v>
      </c>
    </row>
    <row r="53" spans="7:30" x14ac:dyDescent="0.25">
      <c r="M53" t="s">
        <v>2</v>
      </c>
      <c r="N53" t="s">
        <v>3</v>
      </c>
      <c r="O53" t="s">
        <v>10</v>
      </c>
      <c r="P53" t="s">
        <v>3</v>
      </c>
      <c r="Q53">
        <f>ROUND(Q50*$O50/100+Q51*$O51/100,1)</f>
        <v>34.5</v>
      </c>
      <c r="R53" t="s">
        <v>9</v>
      </c>
      <c r="S53">
        <f>ROUND(S50*$O50/100+S51*$O51/100,1)</f>
        <v>29.7</v>
      </c>
      <c r="T53" t="s">
        <v>9</v>
      </c>
      <c r="U53">
        <f>ROUND(U50*$O50/100+U51*$O51/100,1)</f>
        <v>4.7</v>
      </c>
      <c r="V53" s="3" t="s">
        <v>4</v>
      </c>
    </row>
    <row r="54" spans="7:30" x14ac:dyDescent="0.25">
      <c r="L54" s="2"/>
      <c r="M54" t="s">
        <v>38</v>
      </c>
      <c r="N54" t="s">
        <v>3</v>
      </c>
      <c r="P54" t="s">
        <v>3</v>
      </c>
      <c r="Q54">
        <f>ROUND(Q50*$O$50/100+Q51*$O$51/100,1)</f>
        <v>34.5</v>
      </c>
      <c r="R54" t="s">
        <v>9</v>
      </c>
      <c r="S54">
        <f>ROUND(S50*$O$50/100+S51*$O$51/100,1)</f>
        <v>29.7</v>
      </c>
      <c r="T54" t="s">
        <v>9</v>
      </c>
      <c r="U54">
        <f>ROUND(U50*$O$50/100+U51*$O$51/100,1)</f>
        <v>4.7</v>
      </c>
      <c r="V54" s="3" t="s">
        <v>39</v>
      </c>
    </row>
    <row r="62" spans="7:30" x14ac:dyDescent="0.25">
      <c r="G62" t="s">
        <v>18</v>
      </c>
      <c r="H62">
        <v>0.31209999999999999</v>
      </c>
      <c r="I62">
        <v>49.377699999999997</v>
      </c>
      <c r="J62">
        <v>34.940600000000003</v>
      </c>
      <c r="K62">
        <v>14.437099999999999</v>
      </c>
    </row>
    <row r="63" spans="7:30" x14ac:dyDescent="0.25">
      <c r="G63" t="s">
        <v>19</v>
      </c>
      <c r="H63">
        <v>0.35170000000000001</v>
      </c>
      <c r="I63">
        <v>47.992899999999999</v>
      </c>
      <c r="J63">
        <v>33.748399999999997</v>
      </c>
      <c r="K63">
        <v>14.244400000000001</v>
      </c>
    </row>
    <row r="64" spans="7:30" x14ac:dyDescent="0.25">
      <c r="G64" t="s">
        <v>17</v>
      </c>
      <c r="H64">
        <v>0.33629999999999999</v>
      </c>
      <c r="I64">
        <v>38.865099999999998</v>
      </c>
      <c r="J64">
        <v>25.6631</v>
      </c>
      <c r="K64">
        <v>13.202</v>
      </c>
    </row>
    <row r="65" spans="7:11" x14ac:dyDescent="0.25">
      <c r="G65" t="s">
        <v>13</v>
      </c>
      <c r="H65">
        <v>0.40310000000000001</v>
      </c>
      <c r="I65">
        <v>54.788600000000002</v>
      </c>
      <c r="J65">
        <v>51.162500000000001</v>
      </c>
      <c r="K65">
        <v>3.6261999999999999</v>
      </c>
    </row>
    <row r="66" spans="7:11" x14ac:dyDescent="0.25">
      <c r="H66">
        <v>0.33779999999999999</v>
      </c>
      <c r="I66">
        <v>52.133499999999998</v>
      </c>
      <c r="J66">
        <v>48.357199999999999</v>
      </c>
      <c r="K66">
        <v>3.7763</v>
      </c>
    </row>
    <row r="67" spans="7:11" x14ac:dyDescent="0.25">
      <c r="H67">
        <v>0.2591</v>
      </c>
      <c r="I67">
        <v>43.467599999999997</v>
      </c>
      <c r="J67">
        <v>38.609499999999997</v>
      </c>
      <c r="K67">
        <v>4.8581000000000003</v>
      </c>
    </row>
    <row r="68" spans="7:11" x14ac:dyDescent="0.25">
      <c r="G68" t="s">
        <v>13</v>
      </c>
      <c r="H68">
        <v>0.58860000000000001</v>
      </c>
      <c r="I68">
        <v>58.179600000000001</v>
      </c>
      <c r="J68">
        <v>56.46</v>
      </c>
      <c r="K68">
        <v>1.7196</v>
      </c>
    </row>
    <row r="69" spans="7:11" x14ac:dyDescent="0.25">
      <c r="H69">
        <v>0.30640000000000001</v>
      </c>
      <c r="I69">
        <v>54.2149</v>
      </c>
      <c r="J69">
        <v>52.385300000000001</v>
      </c>
      <c r="K69">
        <v>1.8297000000000001</v>
      </c>
    </row>
    <row r="70" spans="7:11" x14ac:dyDescent="0.25">
      <c r="H70">
        <v>0.105</v>
      </c>
      <c r="I70">
        <v>45.1599</v>
      </c>
      <c r="J70">
        <v>41.6173</v>
      </c>
      <c r="K70">
        <v>3.5426000000000002</v>
      </c>
    </row>
    <row r="71" spans="7:11" x14ac:dyDescent="0.25">
      <c r="G71" t="s">
        <v>13</v>
      </c>
      <c r="H71">
        <v>0.31890000000000002</v>
      </c>
      <c r="I71">
        <v>53.237400000000001</v>
      </c>
      <c r="J71">
        <v>38.795499999999997</v>
      </c>
      <c r="K71">
        <v>14.4419</v>
      </c>
    </row>
    <row r="72" spans="7:11" x14ac:dyDescent="0.25">
      <c r="H72">
        <v>0.42080000000000001</v>
      </c>
      <c r="I72">
        <v>50.367899999999999</v>
      </c>
      <c r="J72">
        <v>28.1707</v>
      </c>
      <c r="K72">
        <v>22.197199999999999</v>
      </c>
    </row>
    <row r="73" spans="7:11" x14ac:dyDescent="0.25">
      <c r="H73">
        <v>0.26029999999999998</v>
      </c>
      <c r="I73">
        <v>41.740400000000001</v>
      </c>
      <c r="J73">
        <v>23.6724</v>
      </c>
      <c r="K73">
        <v>18.068000000000001</v>
      </c>
    </row>
    <row r="74" spans="7:11" x14ac:dyDescent="0.25">
      <c r="G74" t="s">
        <v>13</v>
      </c>
      <c r="H74">
        <v>0.45679999999999998</v>
      </c>
      <c r="I74">
        <v>58.323399999999999</v>
      </c>
      <c r="J74">
        <v>54.526299999999999</v>
      </c>
      <c r="K74">
        <v>3.7970999999999999</v>
      </c>
    </row>
    <row r="75" spans="7:11" x14ac:dyDescent="0.25">
      <c r="H75">
        <v>0.33100000000000002</v>
      </c>
      <c r="I75">
        <v>54.644300000000001</v>
      </c>
      <c r="J75">
        <v>48.878100000000003</v>
      </c>
      <c r="K75">
        <v>5.7662000000000004</v>
      </c>
    </row>
    <row r="76" spans="7:11" x14ac:dyDescent="0.25">
      <c r="H76">
        <v>0.2122</v>
      </c>
      <c r="I76">
        <v>46.973300000000002</v>
      </c>
      <c r="J76">
        <v>39.563600000000001</v>
      </c>
      <c r="K76">
        <v>7.4097</v>
      </c>
    </row>
    <row r="77" spans="7:11" x14ac:dyDescent="0.25">
      <c r="G77" t="s">
        <v>13</v>
      </c>
      <c r="H77">
        <v>0.59130000000000005</v>
      </c>
      <c r="I77">
        <v>61.4101</v>
      </c>
      <c r="J77">
        <v>59.751600000000003</v>
      </c>
      <c r="K77">
        <v>1.6585000000000001</v>
      </c>
    </row>
    <row r="78" spans="7:11" x14ac:dyDescent="0.25">
      <c r="H78">
        <v>0.31119999999999998</v>
      </c>
      <c r="I78">
        <v>56.964500000000001</v>
      </c>
      <c r="J78">
        <v>54.188600000000001</v>
      </c>
      <c r="K78">
        <v>2.7759</v>
      </c>
    </row>
    <row r="79" spans="7:11" x14ac:dyDescent="0.25">
      <c r="H79">
        <v>9.7500000000000003E-2</v>
      </c>
      <c r="I79">
        <v>49.1693</v>
      </c>
      <c r="J79">
        <v>43.789299999999997</v>
      </c>
      <c r="K79">
        <v>5.38</v>
      </c>
    </row>
  </sheetData>
  <hyperlinks>
    <hyperlink ref="J16" r:id="rId1" xr:uid="{5A5287A6-2B56-4EF9-B341-73B553C1FFC7}"/>
    <hyperlink ref="J17" r:id="rId2" xr:uid="{3750837E-CC76-4AB3-8B71-2841CFB54920}"/>
    <hyperlink ref="J18" r:id="rId3" xr:uid="{5B9A7229-9EAB-4D22-AA35-8A0DBCE7DB97}"/>
    <hyperlink ref="J20" r:id="rId4" xr:uid="{FCAE4943-0AF0-486A-B7D4-A260FB70A479}"/>
    <hyperlink ref="J21" r:id="rId5" xr:uid="{C8F70C2C-F181-421B-9884-3C7CA224CF2C}"/>
    <hyperlink ref="J32" r:id="rId6" xr:uid="{85247C5C-DE4C-4731-A541-8AB95F1961A3}"/>
    <hyperlink ref="J37" r:id="rId7" xr:uid="{04499711-D893-4692-8E0E-09BD89C8B79C}"/>
    <hyperlink ref="J28" r:id="rId8" xr:uid="{E0A880DD-126E-4F27-9634-AEB9A2FF9C43}"/>
    <hyperlink ref="J33" r:id="rId9" xr:uid="{703E5D76-E1CB-40EB-B2BC-D34D6081A964}"/>
    <hyperlink ref="J24" r:id="rId10" xr:uid="{96F10664-AD01-49B7-ADAB-71814679B861}"/>
    <hyperlink ref="J29" r:id="rId11" xr:uid="{5BE55CC9-8F16-42FA-BF41-B76962116685}"/>
    <hyperlink ref="J25" r:id="rId12" xr:uid="{B280D83B-F9D8-4F12-9E4E-906D72CE5C08}"/>
    <hyperlink ref="J36" r:id="rId13" xr:uid="{BF912291-CB80-4190-93CC-624BE9966881}"/>
    <hyperlink ref="J22" r:id="rId14" xr:uid="{120DF2A0-5C15-4F97-819A-A660AFFE74D3}"/>
    <hyperlink ref="J26" r:id="rId15" xr:uid="{6EA02BD2-BC36-4D12-87D1-D1AFEB2C1D0D}"/>
    <hyperlink ref="J30" r:id="rId16" xr:uid="{876E7280-74CF-4828-8F65-D4B7A4B1A8BA}"/>
    <hyperlink ref="J34" r:id="rId17" xr:uid="{77C18AD9-5001-4B37-B3FC-E790FE607511}"/>
    <hyperlink ref="J38" r:id="rId18" xr:uid="{0DE4029D-8801-4315-9668-58E6333856EC}"/>
    <hyperlink ref="V22" r:id="rId19" xr:uid="{B5A7E651-C7F5-4859-BC7B-B9046EDF41B6}"/>
    <hyperlink ref="V21" r:id="rId20" xr:uid="{E6547881-B293-412E-8920-0982BFAF379C}"/>
    <hyperlink ref="V26" r:id="rId21" xr:uid="{B1EA7F27-69DA-4FE0-8E5C-725A7A47D0EE}"/>
    <hyperlink ref="V28" r:id="rId22" xr:uid="{B4026B24-2B27-484B-A32E-7574C1CFB5EA}"/>
    <hyperlink ref="V32" r:id="rId23" xr:uid="{3720B22C-C531-421D-B90B-9CB4B94C909D}"/>
    <hyperlink ref="V34" r:id="rId24" xr:uid="{34771BC8-1D62-4246-8B92-ADBFC794D08C}"/>
    <hyperlink ref="V38" r:id="rId25" xr:uid="{9EC965B0-B3E0-4672-889D-2A9DD75EB00F}"/>
    <hyperlink ref="V44" r:id="rId26" xr:uid="{D32783D6-FDD4-4643-BC21-DDED65DDD48A}"/>
    <hyperlink ref="V46" r:id="rId27" xr:uid="{87EBC832-1BC6-44E0-B946-1BB3101BD5CF}"/>
    <hyperlink ref="V45" r:id="rId28" xr:uid="{0F904E03-B365-45E1-B159-2C20C58675E9}"/>
    <hyperlink ref="V50" r:id="rId29" xr:uid="{A2C38A12-97C1-476C-B840-843B21244525}"/>
    <hyperlink ref="V27" r:id="rId30" xr:uid="{87067075-3EF5-4F8F-9D44-5142C6B3C8F3}"/>
    <hyperlink ref="V33" r:id="rId31" xr:uid="{09904636-F924-4940-8430-3EBB4AC27349}"/>
    <hyperlink ref="V40" r:id="rId32" xr:uid="{07834EA1-9CEC-4268-96D7-7A6B2D4AA360}"/>
    <hyperlink ref="V39" r:id="rId33" xr:uid="{8BE45FBF-A503-4CBD-91DB-7915FE44DF3C}"/>
    <hyperlink ref="V52" r:id="rId34" xr:uid="{E08D1C24-C16D-46DC-BB86-F7E28EA8C801}"/>
    <hyperlink ref="V51" r:id="rId35" xr:uid="{4AEFECD8-657C-4782-9168-4AC29C93DB61}"/>
    <hyperlink ref="V20" r:id="rId36" xr:uid="{59E4A939-1BAA-4206-9E1F-F7D7D5A9D415}"/>
    <hyperlink ref="AO19" r:id="rId37" xr:uid="{388742D3-27AA-48B1-B26C-58EEEAEF80F6}"/>
    <hyperlink ref="AO20" r:id="rId38" xr:uid="{5B769362-DA01-4CC7-9250-05B69E2F6891}"/>
    <hyperlink ref="AO21" r:id="rId39" xr:uid="{C6E61F4E-9248-4F3A-B1DF-1DEFAC22C418}"/>
    <hyperlink ref="AO22" r:id="rId40" xr:uid="{BE109620-8BE6-4D10-B132-A344C7881E3F}"/>
    <hyperlink ref="AO23" r:id="rId41" xr:uid="{DA8F37C1-8F15-473A-A5D2-D87FC52B8278}"/>
    <hyperlink ref="AO24" r:id="rId42" xr:uid="{B04D7A7B-4841-465F-82AE-83966B7B9BEC}"/>
    <hyperlink ref="AO31" r:id="rId43" xr:uid="{B283F196-AD07-4D61-8724-8C370E36802B}"/>
    <hyperlink ref="AO32" r:id="rId44" xr:uid="{DBCA8C43-33A9-44A6-BB2D-EA3515B0AB86}"/>
    <hyperlink ref="AO33" r:id="rId45" xr:uid="{321DA888-BB9B-4B0C-A83F-19101D8E2306}"/>
    <hyperlink ref="AO34" r:id="rId46" xr:uid="{7AA40EDB-DA6F-49E3-A97B-DE3C5FC903F5}"/>
    <hyperlink ref="AO35" r:id="rId47" xr:uid="{7EB24837-1637-4751-AA0C-90DD4920CB54}"/>
    <hyperlink ref="AO36" r:id="rId48" xr:uid="{FF62DD6B-F936-43C8-9320-1D2D1BB31BEF}"/>
    <hyperlink ref="V53" r:id="rId49" xr:uid="{D6CA6B89-1CBD-42D4-BF88-F7C711015511}"/>
    <hyperlink ref="V23" r:id="rId50" xr:uid="{532914B8-8922-43FC-BD51-370E140EA6FF}"/>
    <hyperlink ref="V29" r:id="rId51" xr:uid="{09C4ED3A-6F4A-4BBB-BF61-BB03834793D9}"/>
    <hyperlink ref="V35" r:id="rId52" xr:uid="{0BB8DAE4-5467-4575-B09D-7653BA53B50E}"/>
    <hyperlink ref="V54" r:id="rId53" xr:uid="{2FE7D5EC-94ED-4BAC-BF9D-B76FF3451E99}"/>
    <hyperlink ref="V47" r:id="rId54" xr:uid="{50ABAC46-1965-4A8E-A051-77034556F45A}"/>
    <hyperlink ref="V41" r:id="rId55" xr:uid="{41CB5E74-45F6-442A-82C4-D6148AA6031E}"/>
  </hyperlinks>
  <pageMargins left="0.7" right="0.7" top="0.75" bottom="0.75" header="0.3" footer="0.3"/>
  <pageSetup paperSize="9" orientation="portrait" r:id="rId5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197B-3151-4F46-B995-07E5FBB54E6A}">
  <dimension ref="D3:O47"/>
  <sheetViews>
    <sheetView workbookViewId="0">
      <selection activeCell="S3" sqref="S3"/>
    </sheetView>
  </sheetViews>
  <sheetFormatPr defaultRowHeight="15" x14ac:dyDescent="0.25"/>
  <sheetData>
    <row r="3" spans="4:15" x14ac:dyDescent="0.25">
      <c r="E3">
        <v>0.26519999999999999</v>
      </c>
      <c r="F3">
        <v>24.934000000000001</v>
      </c>
      <c r="G3">
        <v>13.7661</v>
      </c>
      <c r="H3">
        <v>11.167899999999999</v>
      </c>
      <c r="J3" s="2">
        <f>E3*F3</f>
        <v>6.6124967999999997</v>
      </c>
      <c r="K3" s="2">
        <f>F3*E19</f>
        <v>12.793635400000001</v>
      </c>
      <c r="N3" s="2">
        <f>F3*E27</f>
        <v>6.4105314</v>
      </c>
    </row>
    <row r="4" spans="4:15" x14ac:dyDescent="0.25">
      <c r="E4">
        <v>0.1145</v>
      </c>
      <c r="F4">
        <v>21.952400000000001</v>
      </c>
      <c r="G4">
        <v>9.9632000000000005</v>
      </c>
      <c r="H4">
        <v>11.9892</v>
      </c>
      <c r="J4" s="2">
        <f>E4*F4</f>
        <v>2.5135498000000003</v>
      </c>
      <c r="K4" s="2">
        <f>F4*E20</f>
        <v>2.3884211199999998</v>
      </c>
      <c r="N4" s="2">
        <f>F4*E28</f>
        <v>4.4168228799999998</v>
      </c>
    </row>
    <row r="5" spans="4:15" x14ac:dyDescent="0.25">
      <c r="E5">
        <v>0.32819999999999999</v>
      </c>
      <c r="F5">
        <v>25.076499999999999</v>
      </c>
      <c r="G5">
        <v>14.881</v>
      </c>
      <c r="H5">
        <v>10.195499999999999</v>
      </c>
      <c r="J5" s="2">
        <f>E5*F5</f>
        <v>8.2301073000000002</v>
      </c>
      <c r="K5" s="2">
        <f>F5*E21</f>
        <v>6.9913281999999999</v>
      </c>
      <c r="N5" s="2">
        <f>F5*E29</f>
        <v>8.1147554</v>
      </c>
    </row>
    <row r="6" spans="4:15" x14ac:dyDescent="0.25">
      <c r="E6">
        <v>0.29210000000000003</v>
      </c>
      <c r="F6">
        <v>17.442</v>
      </c>
      <c r="G6">
        <v>8.4137000000000004</v>
      </c>
      <c r="H6">
        <v>9.0282999999999998</v>
      </c>
      <c r="J6" s="2">
        <f>E6*F6</f>
        <v>5.0948082000000001</v>
      </c>
      <c r="K6" s="2">
        <f>F6*E22</f>
        <v>1.7302464</v>
      </c>
      <c r="L6" t="s">
        <v>15</v>
      </c>
      <c r="N6" s="2">
        <f>F6*E30</f>
        <v>3.8041001999999997</v>
      </c>
      <c r="O6" t="s">
        <v>16</v>
      </c>
    </row>
    <row r="7" spans="4:15" x14ac:dyDescent="0.25">
      <c r="J7" s="2">
        <f>SUM(J3:J6)</f>
        <v>22.450962100000002</v>
      </c>
      <c r="K7" s="2">
        <f>SUM(K3:K6)</f>
        <v>23.90363112</v>
      </c>
      <c r="L7" s="6">
        <f>(K7-J7)/(J23-J7)</f>
        <v>0.1962410673438717</v>
      </c>
      <c r="N7" s="2">
        <f>SUM(N3:N6)</f>
        <v>22.746209880000002</v>
      </c>
      <c r="O7" s="6">
        <f>(N7-J7)/(J31-J7)</f>
        <v>8.6000493514011261E-2</v>
      </c>
    </row>
    <row r="8" spans="4:15" x14ac:dyDescent="0.25">
      <c r="J8" s="2"/>
    </row>
    <row r="9" spans="4:15" x14ac:dyDescent="0.25">
      <c r="D9" t="s">
        <v>13</v>
      </c>
      <c r="E9" t="s">
        <v>14</v>
      </c>
      <c r="J9" s="2"/>
    </row>
    <row r="10" spans="4:15" x14ac:dyDescent="0.25">
      <c r="J10" s="2"/>
    </row>
    <row r="11" spans="4:15" x14ac:dyDescent="0.25">
      <c r="E11">
        <v>0.34420000000000001</v>
      </c>
      <c r="F11">
        <v>28.527000000000001</v>
      </c>
      <c r="G11">
        <v>22.930800000000001</v>
      </c>
      <c r="H11">
        <v>5.5961999999999996</v>
      </c>
      <c r="J11" s="2">
        <f>E11*F11</f>
        <v>9.8189934000000001</v>
      </c>
      <c r="N11" s="2">
        <f>F11*E35</f>
        <v>10.874492399999999</v>
      </c>
    </row>
    <row r="12" spans="4:15" x14ac:dyDescent="0.25">
      <c r="E12">
        <v>0.13320000000000001</v>
      </c>
      <c r="F12">
        <v>24.970600000000001</v>
      </c>
      <c r="G12">
        <v>16.799499999999998</v>
      </c>
      <c r="H12">
        <v>8.1710999999999991</v>
      </c>
      <c r="J12" s="2">
        <f>E12*F12</f>
        <v>3.3260839200000003</v>
      </c>
      <c r="N12" s="2">
        <f>F12*E36</f>
        <v>4.6844845599999996</v>
      </c>
    </row>
    <row r="13" spans="4:15" x14ac:dyDescent="0.25">
      <c r="E13">
        <v>0.31040000000000001</v>
      </c>
      <c r="F13">
        <v>27.068100000000001</v>
      </c>
      <c r="G13">
        <v>22.1294</v>
      </c>
      <c r="H13">
        <v>4.9386999999999999</v>
      </c>
      <c r="J13" s="2">
        <f>E13*F13</f>
        <v>8.4019382399999998</v>
      </c>
      <c r="N13" s="2">
        <f>F13*E37</f>
        <v>6.9077791199999998</v>
      </c>
    </row>
    <row r="14" spans="4:15" x14ac:dyDescent="0.25">
      <c r="E14">
        <v>0.2122</v>
      </c>
      <c r="F14">
        <v>19.4451</v>
      </c>
      <c r="G14">
        <v>13.501899999999999</v>
      </c>
      <c r="H14">
        <v>5.9432</v>
      </c>
      <c r="J14" s="2">
        <f>E14*F14</f>
        <v>4.1262502200000002</v>
      </c>
      <c r="N14" s="2">
        <f>F14*E38</f>
        <v>3.4223375999999996</v>
      </c>
      <c r="O14" t="s">
        <v>16</v>
      </c>
    </row>
    <row r="15" spans="4:15" x14ac:dyDescent="0.25">
      <c r="J15" s="2">
        <f>SUM(J11:J14)</f>
        <v>25.673265779999998</v>
      </c>
      <c r="N15" s="2">
        <f>SUM(N11:N14)</f>
        <v>25.889093679999998</v>
      </c>
      <c r="O15" s="6">
        <f>(N15-J15)/(J39-J15)</f>
        <v>6.1445906540809302E-2</v>
      </c>
    </row>
    <row r="16" spans="4:15" x14ac:dyDescent="0.25">
      <c r="J16" s="2"/>
    </row>
    <row r="17" spans="4:15" x14ac:dyDescent="0.25">
      <c r="D17" t="s">
        <v>13</v>
      </c>
      <c r="E17" t="s">
        <v>14</v>
      </c>
      <c r="J17" s="2"/>
    </row>
    <row r="18" spans="4:15" x14ac:dyDescent="0.25">
      <c r="J18" s="2"/>
    </row>
    <row r="19" spans="4:15" x14ac:dyDescent="0.25">
      <c r="E19">
        <v>0.5131</v>
      </c>
      <c r="F19">
        <v>32.189100000000003</v>
      </c>
      <c r="G19">
        <v>28.947099999999999</v>
      </c>
      <c r="H19">
        <v>3.242</v>
      </c>
      <c r="J19" s="2">
        <f>E19*F19</f>
        <v>16.51622721</v>
      </c>
      <c r="N19" s="2">
        <f>F19*E43</f>
        <v>16.432535550000001</v>
      </c>
    </row>
    <row r="20" spans="4:15" x14ac:dyDescent="0.25">
      <c r="E20">
        <v>0.10879999999999999</v>
      </c>
      <c r="F20">
        <v>26.723199999999999</v>
      </c>
      <c r="G20">
        <v>20.771799999999999</v>
      </c>
      <c r="H20">
        <v>5.9513999999999996</v>
      </c>
      <c r="J20" s="2">
        <f>E20*F20</f>
        <v>2.9074841599999997</v>
      </c>
      <c r="N20" s="2">
        <f>F20*E44</f>
        <v>4.4066556799999992</v>
      </c>
    </row>
    <row r="21" spans="4:15" x14ac:dyDescent="0.25">
      <c r="E21">
        <v>0.27879999999999999</v>
      </c>
      <c r="F21">
        <v>29.885400000000001</v>
      </c>
      <c r="G21">
        <v>26.9544</v>
      </c>
      <c r="H21">
        <v>2.931</v>
      </c>
      <c r="J21" s="2">
        <f>E21*F21</f>
        <v>8.33204952</v>
      </c>
      <c r="N21" s="2">
        <f>F21*E45</f>
        <v>7.0619200200000005</v>
      </c>
    </row>
    <row r="22" spans="4:15" x14ac:dyDescent="0.25">
      <c r="E22">
        <v>9.9199999999999997E-2</v>
      </c>
      <c r="F22">
        <v>21.145900000000001</v>
      </c>
      <c r="G22">
        <v>16.101500000000001</v>
      </c>
      <c r="H22">
        <v>5.0445000000000002</v>
      </c>
      <c r="J22" s="2">
        <f>E22*F22</f>
        <v>2.09767328</v>
      </c>
      <c r="N22" s="2">
        <f>F22*E46</f>
        <v>1.8671829700000002</v>
      </c>
      <c r="O22" t="s">
        <v>16</v>
      </c>
    </row>
    <row r="23" spans="4:15" x14ac:dyDescent="0.25">
      <c r="J23" s="2">
        <f>SUM(J19:J22)</f>
        <v>29.853434169999996</v>
      </c>
      <c r="N23" s="2">
        <f>SUM(N19:N22)</f>
        <v>29.768294220000001</v>
      </c>
      <c r="O23" s="6">
        <f>(N23-J23)/(J47-J23)</f>
        <v>-2.852270811245556E-2</v>
      </c>
    </row>
    <row r="24" spans="4:15" x14ac:dyDescent="0.25">
      <c r="J24" s="2"/>
    </row>
    <row r="25" spans="4:15" x14ac:dyDescent="0.25">
      <c r="D25" t="s">
        <v>13</v>
      </c>
      <c r="E25" t="s">
        <v>14</v>
      </c>
      <c r="J25" s="2"/>
    </row>
    <row r="26" spans="4:15" x14ac:dyDescent="0.25">
      <c r="J26" s="2"/>
    </row>
    <row r="27" spans="4:15" x14ac:dyDescent="0.25">
      <c r="E27">
        <v>0.2571</v>
      </c>
      <c r="F27">
        <v>28.834399999999999</v>
      </c>
      <c r="G27">
        <v>16.236999999999998</v>
      </c>
      <c r="H27">
        <v>12.5974</v>
      </c>
      <c r="J27" s="2">
        <f>E27*F27</f>
        <v>7.4133242399999997</v>
      </c>
      <c r="K27" s="2">
        <f>F27*E43</f>
        <v>14.719961199999998</v>
      </c>
    </row>
    <row r="28" spans="4:15" x14ac:dyDescent="0.25">
      <c r="E28">
        <v>0.20119999999999999</v>
      </c>
      <c r="F28">
        <v>24.836300000000001</v>
      </c>
      <c r="G28">
        <v>10.030900000000001</v>
      </c>
      <c r="H28">
        <v>14.8055</v>
      </c>
      <c r="J28" s="2">
        <f>E28*F28</f>
        <v>4.99706356</v>
      </c>
      <c r="K28" s="2">
        <f>F28*E44</f>
        <v>4.0955058700000002</v>
      </c>
    </row>
    <row r="29" spans="4:15" x14ac:dyDescent="0.25">
      <c r="E29">
        <v>0.3236</v>
      </c>
      <c r="F29">
        <v>27.988700000000001</v>
      </c>
      <c r="G29">
        <v>16.170200000000001</v>
      </c>
      <c r="H29">
        <v>11.8185</v>
      </c>
      <c r="J29" s="2">
        <f>E29*F29</f>
        <v>9.0571433199999998</v>
      </c>
      <c r="K29" s="2">
        <f>F29*E45</f>
        <v>6.6137298100000006</v>
      </c>
    </row>
    <row r="30" spans="4:15" x14ac:dyDescent="0.25">
      <c r="E30">
        <v>0.21809999999999999</v>
      </c>
      <c r="F30">
        <v>20.25</v>
      </c>
      <c r="G30">
        <v>9.3089999999999993</v>
      </c>
      <c r="H30">
        <v>10.9411</v>
      </c>
      <c r="J30" s="2">
        <f>E30*F30</f>
        <v>4.416525</v>
      </c>
      <c r="K30" s="2">
        <f>F30*E46</f>
        <v>1.7880750000000001</v>
      </c>
      <c r="L30" t="s">
        <v>15</v>
      </c>
    </row>
    <row r="31" spans="4:15" x14ac:dyDescent="0.25">
      <c r="J31" s="2">
        <f>SUM(J27:J30)</f>
        <v>25.884056119999997</v>
      </c>
      <c r="K31" s="2">
        <f>SUM(K27:K30)</f>
        <v>27.217271879999998</v>
      </c>
      <c r="L31" s="4">
        <f>(K31-J31)/(J47-J31)</f>
        <v>0.19170916412823169</v>
      </c>
    </row>
    <row r="32" spans="4:15" x14ac:dyDescent="0.25">
      <c r="J32" s="2"/>
    </row>
    <row r="33" spans="4:10" x14ac:dyDescent="0.25">
      <c r="D33" t="s">
        <v>13</v>
      </c>
      <c r="E33" t="s">
        <v>14</v>
      </c>
      <c r="J33" s="2"/>
    </row>
    <row r="34" spans="4:10" x14ac:dyDescent="0.25">
      <c r="J34" s="2"/>
    </row>
    <row r="35" spans="4:10" x14ac:dyDescent="0.25">
      <c r="E35">
        <v>0.38119999999999998</v>
      </c>
      <c r="F35">
        <v>32.313499999999998</v>
      </c>
      <c r="G35">
        <v>26.153300000000002</v>
      </c>
      <c r="H35">
        <v>6.1601999999999997</v>
      </c>
      <c r="J35" s="2">
        <f>E35*F35</f>
        <v>12.317906199999998</v>
      </c>
    </row>
    <row r="36" spans="4:10" x14ac:dyDescent="0.25">
      <c r="E36">
        <v>0.18759999999999999</v>
      </c>
      <c r="F36">
        <v>27.8371</v>
      </c>
      <c r="G36">
        <v>17.9758</v>
      </c>
      <c r="H36">
        <v>9.8613</v>
      </c>
      <c r="J36" s="2">
        <f>E36*F36</f>
        <v>5.2222399599999996</v>
      </c>
    </row>
    <row r="37" spans="4:10" x14ac:dyDescent="0.25">
      <c r="E37">
        <v>0.25519999999999998</v>
      </c>
      <c r="F37">
        <v>30.1967</v>
      </c>
      <c r="G37">
        <v>24.53</v>
      </c>
      <c r="H37">
        <v>5.6666999999999996</v>
      </c>
      <c r="J37" s="2">
        <f>E37*F37</f>
        <v>7.7061978399999997</v>
      </c>
    </row>
    <row r="38" spans="4:10" x14ac:dyDescent="0.25">
      <c r="E38">
        <v>0.17599999999999999</v>
      </c>
      <c r="F38">
        <v>22.382999999999999</v>
      </c>
      <c r="G38">
        <v>15.0101</v>
      </c>
      <c r="H38">
        <v>7.3727999999999998</v>
      </c>
      <c r="J38" s="2">
        <f>E38*F38</f>
        <v>3.9394079999999998</v>
      </c>
    </row>
    <row r="39" spans="4:10" x14ac:dyDescent="0.25">
      <c r="J39" s="2">
        <f>SUM(J35:J38)</f>
        <v>29.185752000000001</v>
      </c>
    </row>
    <row r="40" spans="4:10" x14ac:dyDescent="0.25">
      <c r="J40" s="2"/>
    </row>
    <row r="41" spans="4:10" x14ac:dyDescent="0.25">
      <c r="D41" t="s">
        <v>13</v>
      </c>
      <c r="E41" t="s">
        <v>14</v>
      </c>
      <c r="J41" s="2"/>
    </row>
    <row r="42" spans="4:10" x14ac:dyDescent="0.25">
      <c r="J42" s="2"/>
    </row>
    <row r="43" spans="4:10" x14ac:dyDescent="0.25">
      <c r="E43">
        <v>0.51049999999999995</v>
      </c>
      <c r="F43">
        <v>35.317399999999999</v>
      </c>
      <c r="G43">
        <v>31.659400000000002</v>
      </c>
      <c r="H43">
        <v>3.6579999999999999</v>
      </c>
      <c r="J43" s="2">
        <f>E43*F43</f>
        <v>18.029532699999997</v>
      </c>
    </row>
    <row r="44" spans="4:10" x14ac:dyDescent="0.25">
      <c r="E44">
        <v>0.16489999999999999</v>
      </c>
      <c r="F44">
        <v>29.812200000000001</v>
      </c>
      <c r="G44">
        <v>22.9757</v>
      </c>
      <c r="H44">
        <v>6.8365</v>
      </c>
      <c r="J44" s="2">
        <f>E44*F44</f>
        <v>4.91603178</v>
      </c>
    </row>
    <row r="45" spans="4:10" x14ac:dyDescent="0.25">
      <c r="E45">
        <v>0.23630000000000001</v>
      </c>
      <c r="F45">
        <v>32.663600000000002</v>
      </c>
      <c r="G45">
        <v>29.0745</v>
      </c>
      <c r="H45">
        <v>3.5891000000000002</v>
      </c>
      <c r="J45" s="2">
        <f>E45*F45</f>
        <v>7.7184086800000005</v>
      </c>
    </row>
    <row r="46" spans="4:10" x14ac:dyDescent="0.25">
      <c r="E46">
        <v>8.8300000000000003E-2</v>
      </c>
      <c r="F46">
        <v>24.625699999999998</v>
      </c>
      <c r="G46">
        <v>18.864100000000001</v>
      </c>
      <c r="H46">
        <v>5.7615999999999996</v>
      </c>
      <c r="J46" s="2">
        <f>E46*F46</f>
        <v>2.17444931</v>
      </c>
    </row>
    <row r="47" spans="4:10" x14ac:dyDescent="0.25">
      <c r="J47" s="2">
        <f>SUM(J43:J46)</f>
        <v>32.838422469999998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3532-249F-4241-A391-CDBF4CF56E1D}">
  <dimension ref="B3:G39"/>
  <sheetViews>
    <sheetView topLeftCell="A2" workbookViewId="0">
      <selection activeCell="W13" sqref="W13"/>
    </sheetView>
  </sheetViews>
  <sheetFormatPr defaultRowHeight="15" x14ac:dyDescent="0.25"/>
  <sheetData>
    <row r="3" spans="2:7" x14ac:dyDescent="0.25">
      <c r="B3">
        <v>26</v>
      </c>
      <c r="C3">
        <v>0.88438594530047798</v>
      </c>
      <c r="D3">
        <v>0.82333782608086203</v>
      </c>
      <c r="F3">
        <v>0.99236491213732603</v>
      </c>
      <c r="G3">
        <v>0.972673001913549</v>
      </c>
    </row>
    <row r="4" spans="2:7" x14ac:dyDescent="0.25">
      <c r="B4">
        <v>28</v>
      </c>
      <c r="C4">
        <v>0.87965611374444497</v>
      </c>
      <c r="D4">
        <v>0.81798543446142602</v>
      </c>
      <c r="F4">
        <v>0.99129781289955099</v>
      </c>
      <c r="G4">
        <v>0.97009669723345104</v>
      </c>
    </row>
    <row r="5" spans="2:7" x14ac:dyDescent="0.25">
      <c r="B5">
        <v>30</v>
      </c>
      <c r="C5">
        <v>0.87478997142508796</v>
      </c>
      <c r="D5">
        <v>0.81248881443228504</v>
      </c>
      <c r="F5">
        <v>0.99010152598909795</v>
      </c>
      <c r="G5">
        <v>0.96730629125162304</v>
      </c>
    </row>
    <row r="6" spans="2:7" x14ac:dyDescent="0.25">
      <c r="B6">
        <v>32</v>
      </c>
      <c r="C6">
        <v>0.86978549538925098</v>
      </c>
      <c r="D6">
        <v>0.80683576036295701</v>
      </c>
      <c r="F6">
        <v>0.98876311292850105</v>
      </c>
      <c r="G6">
        <v>0.96428381840071797</v>
      </c>
    </row>
    <row r="7" spans="2:7" x14ac:dyDescent="0.25">
      <c r="B7">
        <v>34</v>
      </c>
      <c r="C7">
        <v>0.86464023359589504</v>
      </c>
      <c r="D7">
        <v>0.80101162171125795</v>
      </c>
      <c r="F7">
        <v>0.98726854672489595</v>
      </c>
      <c r="G7">
        <v>0.96100900613564899</v>
      </c>
    </row>
    <row r="8" spans="2:7" x14ac:dyDescent="0.25">
      <c r="B8">
        <v>36</v>
      </c>
      <c r="C8">
        <v>0.85935105076045004</v>
      </c>
      <c r="D8">
        <v>0.79499898115832102</v>
      </c>
      <c r="F8">
        <v>0.98560256209517305</v>
      </c>
      <c r="G8">
        <v>0.95745884964135897</v>
      </c>
    </row>
    <row r="9" spans="2:7" x14ac:dyDescent="0.25">
      <c r="B9">
        <v>38</v>
      </c>
      <c r="C9">
        <v>0.85391377500168697</v>
      </c>
      <c r="D9">
        <v>0.78877733674888195</v>
      </c>
      <c r="F9">
        <v>0.983748449433546</v>
      </c>
      <c r="G9">
        <v>0.953607137955229</v>
      </c>
    </row>
    <row r="10" spans="2:7" x14ac:dyDescent="0.25">
      <c r="B10">
        <v>40</v>
      </c>
      <c r="C10">
        <v>0.84832271887492205</v>
      </c>
      <c r="D10">
        <v>0.78232280120254505</v>
      </c>
      <c r="F10">
        <v>0.98168777314862099</v>
      </c>
      <c r="G10">
        <v>0.94942394312089196</v>
      </c>
    </row>
    <row r="11" spans="2:7" x14ac:dyDescent="0.25">
      <c r="B11">
        <v>42</v>
      </c>
      <c r="C11">
        <v>0.84257004719413398</v>
      </c>
      <c r="D11">
        <v>0.77560783464924499</v>
      </c>
      <c r="F11">
        <v>0.97939999111432796</v>
      </c>
      <c r="G11">
        <v>0.94487509130533798</v>
      </c>
    </row>
    <row r="12" spans="2:7" x14ac:dyDescent="0.25">
      <c r="B12">
        <v>44</v>
      </c>
      <c r="C12">
        <v>0.83664496580709702</v>
      </c>
      <c r="D12">
        <v>0.76860103042204997</v>
      </c>
      <c r="F12">
        <v>0.97686194812128202</v>
      </c>
      <c r="G12">
        <v>0.93992164247031196</v>
      </c>
    </row>
    <row r="13" spans="2:7" x14ac:dyDescent="0.25">
      <c r="B13">
        <v>46</v>
      </c>
      <c r="C13">
        <v>0.83053271122955596</v>
      </c>
      <c r="D13">
        <v>0.76126697703461199</v>
      </c>
      <c r="F13">
        <v>0.974047213029123</v>
      </c>
      <c r="G13">
        <v>0.93451941225459501</v>
      </c>
    </row>
    <row r="14" spans="2:7" x14ac:dyDescent="0.25">
      <c r="B14">
        <v>48</v>
      </c>
      <c r="C14">
        <v>0.82421333151697795</v>
      </c>
      <c r="D14">
        <v>0.75356622273558005</v>
      </c>
      <c r="F14">
        <v>0.97092522815527704</v>
      </c>
      <c r="G14">
        <v>0.92861857521669899</v>
      </c>
    </row>
    <row r="15" spans="2:7" x14ac:dyDescent="0.25">
      <c r="B15">
        <v>50</v>
      </c>
      <c r="C15">
        <v>0.81766026428345595</v>
      </c>
      <c r="D15">
        <v>0.74545537154283503</v>
      </c>
      <c r="F15">
        <v>0.96746024256437402</v>
      </c>
      <c r="G15">
        <v>0.92216339175283002</v>
      </c>
    </row>
    <row r="16" spans="2:7" x14ac:dyDescent="0.25">
      <c r="B16">
        <v>52</v>
      </c>
      <c r="C16">
        <v>0.81083873832120001</v>
      </c>
      <c r="D16">
        <v>0.73688734073412199</v>
      </c>
      <c r="F16">
        <v>0.96361001142880198</v>
      </c>
      <c r="G16">
        <v>0.91509210157381904</v>
      </c>
    </row>
    <row r="17" spans="2:7" x14ac:dyDescent="0.25">
      <c r="B17">
        <v>54</v>
      </c>
      <c r="C17">
        <v>0.80370405066399897</v>
      </c>
      <c r="D17">
        <v>0.72781180864651296</v>
      </c>
      <c r="F17">
        <v>0.95932426471427801</v>
      </c>
      <c r="G17">
        <v>0.90733702496764301</v>
      </c>
    </row>
    <row r="18" spans="2:7" x14ac:dyDescent="0.25">
      <c r="B18">
        <v>56</v>
      </c>
      <c r="C18">
        <v>0.79619980121399503</v>
      </c>
      <c r="D18">
        <v>0.71817587760621504</v>
      </c>
      <c r="F18">
        <v>0.95454298209138799</v>
      </c>
      <c r="G18">
        <v>0.89882491014113197</v>
      </c>
    </row>
    <row r="19" spans="2:7" x14ac:dyDescent="0.25">
      <c r="B19">
        <v>58</v>
      </c>
      <c r="C19">
        <v>0.78825620256628204</v>
      </c>
      <c r="D19">
        <v>0.70792496938140004</v>
      </c>
      <c r="F19">
        <v>0.94919455631652905</v>
      </c>
      <c r="G19">
        <v>0.88947756193111205</v>
      </c>
    </row>
    <row r="20" spans="2:7" x14ac:dyDescent="0.25">
      <c r="B20">
        <v>60</v>
      </c>
      <c r="C20">
        <v>0.77978862361196499</v>
      </c>
      <c r="D20">
        <v>0.697003959621043</v>
      </c>
      <c r="F20">
        <v>0.94319397944542305</v>
      </c>
      <c r="G20">
        <v>0.87921278501177702</v>
      </c>
    </row>
    <row r="21" spans="2:7" x14ac:dyDescent="0.25">
      <c r="B21">
        <v>62</v>
      </c>
      <c r="C21">
        <v>0.77069657064373398</v>
      </c>
      <c r="D21">
        <v>0.68535854372803895</v>
      </c>
      <c r="F21">
        <v>0.93644123637669796</v>
      </c>
      <c r="G21">
        <v>0.86794567338977802</v>
      </c>
    </row>
    <row r="22" spans="2:7" x14ac:dyDescent="0.25">
      <c r="B22">
        <v>64</v>
      </c>
      <c r="C22">
        <v>0.76086335453368603</v>
      </c>
      <c r="D22">
        <v>0.67293681049777698</v>
      </c>
      <c r="F22">
        <v>0.92882012800005098</v>
      </c>
      <c r="G22">
        <v>0.85559027607237303</v>
      </c>
    </row>
    <row r="23" spans="2:7" x14ac:dyDescent="0.25">
      <c r="B23">
        <v>66</v>
      </c>
      <c r="C23">
        <v>0.75015672772029596</v>
      </c>
      <c r="D23">
        <v>0.65969098311674101</v>
      </c>
      <c r="F23">
        <v>0.92019776358146499</v>
      </c>
      <c r="G23">
        <v>0.842061663484721</v>
      </c>
    </row>
    <row r="24" spans="2:7" x14ac:dyDescent="0.25">
      <c r="B24">
        <v>68</v>
      </c>
      <c r="C24">
        <v>0.73843078576328802</v>
      </c>
      <c r="D24">
        <v>0.64557927155151895</v>
      </c>
      <c r="F24">
        <v>0.91042495718202499</v>
      </c>
      <c r="G24">
        <v>0.82727840678334497</v>
      </c>
    </row>
    <row r="25" spans="2:7" x14ac:dyDescent="0.25">
      <c r="B25">
        <v>70</v>
      </c>
      <c r="C25">
        <v>0.72552939789802395</v>
      </c>
      <c r="D25">
        <v>0.63056776777817103</v>
      </c>
      <c r="F25">
        <v>0.89933774191474802</v>
      </c>
      <c r="G25">
        <v>0.81116545919954597</v>
      </c>
    </row>
    <row r="26" spans="2:7" x14ac:dyDescent="0.25">
      <c r="B26">
        <v>72</v>
      </c>
      <c r="C26">
        <v>0.71129134459906296</v>
      </c>
      <c r="D26">
        <v>0.614632307199103</v>
      </c>
      <c r="F26">
        <v>0.88676018952659497</v>
      </c>
      <c r="G26">
        <v>0.79365739321750695</v>
      </c>
    </row>
    <row r="27" spans="2:7" x14ac:dyDescent="0.25">
      <c r="B27">
        <v>74</v>
      </c>
      <c r="C27">
        <v>0.69555719225796897</v>
      </c>
      <c r="D27">
        <v>0.59776021684278702</v>
      </c>
      <c r="F27">
        <v>0.87250869918458696</v>
      </c>
      <c r="G27">
        <v>0.77470190111847903</v>
      </c>
    </row>
    <row r="28" spans="2:7" x14ac:dyDescent="0.25">
      <c r="B28">
        <v>76</v>
      </c>
      <c r="C28">
        <v>0.67817773567176698</v>
      </c>
      <c r="D28">
        <v>0.57995187360176903</v>
      </c>
      <c r="F28">
        <v>0.85639789462898597</v>
      </c>
      <c r="G28">
        <v>0.75426341439443001</v>
      </c>
    </row>
    <row r="29" spans="2:7" x14ac:dyDescent="0.25">
      <c r="B29">
        <v>78</v>
      </c>
      <c r="C29">
        <v>0.65902361538079401</v>
      </c>
      <c r="D29">
        <v>0.56122200306917303</v>
      </c>
      <c r="F29">
        <v>0.83824822243761599</v>
      </c>
      <c r="G29">
        <v>0.73232664837996198</v>
      </c>
    </row>
    <row r="30" spans="2:7" x14ac:dyDescent="0.25">
      <c r="B30">
        <v>80</v>
      </c>
      <c r="C30">
        <v>0.63799550905491298</v>
      </c>
      <c r="D30">
        <v>0.54160066006816499</v>
      </c>
      <c r="F30">
        <v>0.81789524325857199</v>
      </c>
      <c r="G30">
        <v>0.70889984261764905</v>
      </c>
    </row>
    <row r="31" spans="2:7" x14ac:dyDescent="0.25">
      <c r="B31">
        <v>82</v>
      </c>
      <c r="C31">
        <v>0.61503414635549702</v>
      </c>
      <c r="D31">
        <v>0.52113384401875995</v>
      </c>
      <c r="F31">
        <v>0.79520042322644202</v>
      </c>
      <c r="G31">
        <v>0.68401745464956498</v>
      </c>
    </row>
    <row r="32" spans="2:7" x14ac:dyDescent="0.25">
      <c r="B32">
        <v>84</v>
      </c>
      <c r="C32">
        <v>0.59012933598450601</v>
      </c>
      <c r="D32">
        <v>0.49988371427489298</v>
      </c>
      <c r="F32">
        <v>0.770062960227613</v>
      </c>
      <c r="G32">
        <v>0.65774208120073696</v>
      </c>
    </row>
    <row r="33" spans="2:7" x14ac:dyDescent="0.25">
      <c r="B33">
        <v>86</v>
      </c>
      <c r="C33">
        <v>0.56332723096093196</v>
      </c>
      <c r="D33">
        <v>0.47792838146352601</v>
      </c>
      <c r="F33">
        <v>0.74243185704595405</v>
      </c>
      <c r="G33">
        <v>0.63016542635748096</v>
      </c>
    </row>
    <row r="34" spans="2:7" x14ac:dyDescent="0.25">
      <c r="B34">
        <v>88</v>
      </c>
      <c r="C34">
        <v>0.53473517780162305</v>
      </c>
      <c r="D34">
        <v>0.45536126045528302</v>
      </c>
      <c r="F34">
        <v>0.71231716069010098</v>
      </c>
      <c r="G34">
        <v>0.601408205064207</v>
      </c>
    </row>
    <row r="35" spans="2:7" x14ac:dyDescent="0.25">
      <c r="B35">
        <v>90</v>
      </c>
      <c r="C35">
        <v>0.50452366422462702</v>
      </c>
      <c r="D35">
        <v>0.43228997953793502</v>
      </c>
      <c r="F35">
        <v>0.67979912431283196</v>
      </c>
      <c r="G35">
        <v>0.57161895041579802</v>
      </c>
    </row>
    <row r="36" spans="2:7" x14ac:dyDescent="0.25">
      <c r="B36">
        <v>92</v>
      </c>
      <c r="C36">
        <v>0.47292506295952802</v>
      </c>
      <c r="D36">
        <v>0.40883484993188901</v>
      </c>
      <c r="F36">
        <v>0.64503409597330197</v>
      </c>
      <c r="G36">
        <v>0.54097177070269298</v>
      </c>
    </row>
    <row r="37" spans="2:7" x14ac:dyDescent="0.25">
      <c r="B37">
        <v>94</v>
      </c>
      <c r="C37">
        <v>0.44022904433473198</v>
      </c>
      <c r="D37">
        <v>0.38512691146448702</v>
      </c>
      <c r="F37">
        <v>0.60825621985600398</v>
      </c>
      <c r="G37">
        <v>0.50966316425560998</v>
      </c>
    </row>
    <row r="38" spans="2:7" x14ac:dyDescent="0.25">
      <c r="B38">
        <v>96</v>
      </c>
      <c r="C38">
        <v>0.406774697306097</v>
      </c>
      <c r="D38">
        <v>0.36130558514970301</v>
      </c>
      <c r="F38">
        <v>0.56977449649731204</v>
      </c>
      <c r="G38">
        <v>0.47790803907710699</v>
      </c>
    </row>
    <row r="39" spans="2:7" x14ac:dyDescent="0.25">
      <c r="B39">
        <v>98</v>
      </c>
      <c r="C39">
        <v>0.372939575050869</v>
      </c>
      <c r="D39">
        <v>0.33751598190104798</v>
      </c>
      <c r="F39">
        <v>0.52996527322523401</v>
      </c>
      <c r="G39">
        <v>0.44593509932220998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Bueren, Jesus</dc:creator>
  <cp:lastModifiedBy>Bueren, Jesus</cp:lastModifiedBy>
  <dcterms:created xsi:type="dcterms:W3CDTF">2020-09-16T12:51:37Z</dcterms:created>
  <dcterms:modified xsi:type="dcterms:W3CDTF">2024-02-23T16:04:33Z</dcterms:modified>
</cp:coreProperties>
</file>